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/Downloads/"/>
    </mc:Choice>
  </mc:AlternateContent>
  <xr:revisionPtr revIDLastSave="0" documentId="13_ncr:1_{84206B61-6401-3244-B0D5-0B0C6DC61DE1}" xr6:coauthVersionLast="47" xr6:coauthVersionMax="47" xr10:uidLastSave="{00000000-0000-0000-0000-000000000000}"/>
  <bookViews>
    <workbookView xWindow="-38420" yWindow="-3100" windowWidth="38400" windowHeight="21100" activeTab="4" xr2:uid="{00000000-000D-0000-FFFF-FFFF00000000}"/>
  </bookViews>
  <sheets>
    <sheet name="DISCOVERY" sheetId="1" r:id="rId1"/>
    <sheet name="ENGAGEMENT" sheetId="2" r:id="rId2"/>
    <sheet name="TOP POSTS" sheetId="3" r:id="rId3"/>
    <sheet name="Impressions" sheetId="6" r:id="rId4"/>
    <sheet name="Clay Imp" sheetId="7" r:id="rId5"/>
    <sheet name="Impressions Dedupe" sheetId="8" r:id="rId6"/>
    <sheet name="FOLLOWERS" sheetId="4" r:id="rId7"/>
    <sheet name="DEMOGRAPHIC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D4" i="3"/>
  <c r="J4" i="3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2" i="6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H4" i="3" l="1"/>
</calcChain>
</file>

<file path=xl/sharedStrings.xml><?xml version="1.0" encoding="utf-8"?>
<sst xmlns="http://schemas.openxmlformats.org/spreadsheetml/2006/main" count="834" uniqueCount="465">
  <si>
    <t>Overall Performance</t>
  </si>
  <si>
    <t>1/17/2026 - 2/9/2026</t>
  </si>
  <si>
    <t>Impressions</t>
  </si>
  <si>
    <t>Members reached</t>
  </si>
  <si>
    <t>Date</t>
  </si>
  <si>
    <t>Engagements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</si>
  <si>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</si>
  <si>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</si>
  <si>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</si>
  <si>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</si>
  <si>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</si>
  <si>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</si>
  <si>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</si>
  <si>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</si>
  <si>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</si>
  <si>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</si>
  <si>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</si>
  <si>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</si>
  <si>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</si>
  <si>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</si>
  <si>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</si>
  <si>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</si>
  <si>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</si>
  <si>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</si>
  <si>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</si>
  <si>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</si>
  <si>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</si>
  <si>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</si>
  <si>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</si>
  <si>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</si>
  <si>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Maximum of 50 posts available to include in this list</t>
  </si>
  <si>
    <t>Post URL</t>
  </si>
  <si>
    <t>Post publish date</t>
  </si>
  <si>
    <t>https://www.linkedin.com/feed/update/urn:li:activity:7422364562756288512</t>
  </si>
  <si>
    <t>https://www.linkedin.com/feed/update/urn:li:activity:7420422539941834753</t>
  </si>
  <si>
    <t>https://www.linkedin.com/feed/update/urn:li:activity:7422774235837882368</t>
  </si>
  <si>
    <t>https://www.linkedin.com/feed/update/urn:li:activity:7425459284324319232</t>
  </si>
  <si>
    <t>https://www.linkedin.com/feed/update/urn:li:activity:7423736066450300928</t>
  </si>
  <si>
    <t>https://www.linkedin.com/feed/update/urn:li:activity:7421500916853288960</t>
  </si>
  <si>
    <t>https://www.linkedin.com/feed/update/urn:li:activity:7424054497959661568</t>
  </si>
  <si>
    <t>https://www.linkedin.com/feed/update/urn:li:activity:7424369664467660800</t>
  </si>
  <si>
    <t>https://www.linkedin.com/feed/update/urn:li:activity:7422923544487055360</t>
  </si>
  <si>
    <t>https://www.linkedin.com/feed/update/urn:li:activity:7421838251558170625</t>
  </si>
  <si>
    <t>https://www.linkedin.com/feed/update/urn:li:activity:7418952594917613568</t>
  </si>
  <si>
    <t>https://www.linkedin.com/feed/update/urn:li:activity:7416828278642196480</t>
  </si>
  <si>
    <t>1/13/2026</t>
  </si>
  <si>
    <t>https://www.linkedin.com/feed/update/urn:li:activity:7426566495159226368</t>
  </si>
  <si>
    <t>https://www.linkedin.com/feed/update/urn:li:activity:7417875631364825088</t>
  </si>
  <si>
    <t>1/16/2026</t>
  </si>
  <si>
    <t>https://www.linkedin.com/feed/update/urn:li:activity:7425146854830473216</t>
  </si>
  <si>
    <t>https://www.linkedin.com/feed/update/urn:li:activity:7417530930526998530</t>
  </si>
  <si>
    <t>1/15/2026</t>
  </si>
  <si>
    <t>https://www.linkedin.com/feed/update/urn:li:activity:7417127183514763264</t>
  </si>
  <si>
    <t>1/14/2026</t>
  </si>
  <si>
    <t>https://www.linkedin.com/feed/update/urn:li:activity:7407043077183262720</t>
  </si>
  <si>
    <t>12/17/2025</t>
  </si>
  <si>
    <t>https://www.linkedin.com/feed/update/urn:li:activity:7406671506350637057</t>
  </si>
  <si>
    <t>12/16/2025</t>
  </si>
  <si>
    <t>https://www.linkedin.com/feed/update/urn:li:activity:7409343831193657344</t>
  </si>
  <si>
    <t>12/23/2025</t>
  </si>
  <si>
    <t>https://www.linkedin.com/feed/update/urn:li:activity:7279522660940746753</t>
  </si>
  <si>
    <t>12/30/2024</t>
  </si>
  <si>
    <t>https://www.linkedin.com/feed/update/urn:li:activity:7409153529006936064</t>
  </si>
  <si>
    <t>https://www.linkedin.com/feed/update/urn:li:activity:7329043662779084800</t>
  </si>
  <si>
    <t>5/16/2025</t>
  </si>
  <si>
    <t>https://www.linkedin.com/feed/update/urn:li:activity:7405184685728796672</t>
  </si>
  <si>
    <t>12/12/2025</t>
  </si>
  <si>
    <t>https://www.linkedin.com/feed/update/urn:li:activity:7406304172867743744</t>
  </si>
  <si>
    <t>12/15/2025</t>
  </si>
  <si>
    <t>https://www.linkedin.com/feed/update/urn:li:activity:7407744163548512257</t>
  </si>
  <si>
    <t>12/19/2025</t>
  </si>
  <si>
    <t>https://www.linkedin.com/feed/update/urn:li:activity:7367237163127635968</t>
  </si>
  <si>
    <t>8/29/2025</t>
  </si>
  <si>
    <t>https://www.linkedin.com/feed/update/urn:li:activity:7396880057752887296</t>
  </si>
  <si>
    <t>11/19/2025</t>
  </si>
  <si>
    <t>https://www.linkedin.com/feed/update/urn:li:activity:7394095727116705792</t>
  </si>
  <si>
    <t>11/11/2025</t>
  </si>
  <si>
    <t>https://www.linkedin.com/feed/update/urn:li:activity:7348815874650198018</t>
  </si>
  <si>
    <t>7/9/2025</t>
  </si>
  <si>
    <t>https://www.linkedin.com/feed/update/urn:li:activity:7341127647604690946</t>
  </si>
  <si>
    <t>6/18/2025</t>
  </si>
  <si>
    <t>https://www.linkedin.com/feed/update/urn:li:activity:7386862136712675328</t>
  </si>
  <si>
    <t>10/22/2025</t>
  </si>
  <si>
    <t>https://www.linkedin.com/feed/update/urn:li:activity:7330228302336397313</t>
  </si>
  <si>
    <t>5/19/2025</t>
  </si>
  <si>
    <t>https://www.linkedin.com/feed/update/urn:li:activity:7396105895014993920</t>
  </si>
  <si>
    <t>11/17/2025</t>
  </si>
  <si>
    <t>https://www.linkedin.com/feed/update/urn:li:activity:7404869759596388352</t>
  </si>
  <si>
    <t>12/11/2025</t>
  </si>
  <si>
    <t>https://www.linkedin.com/feed/update/urn:li:activity:7379798873013239808</t>
  </si>
  <si>
    <t>10/3/2025</t>
  </si>
  <si>
    <t>https://www.linkedin.com/feed/update/urn:li:activity:7381392068423680000</t>
  </si>
  <si>
    <t>10/7/2025</t>
  </si>
  <si>
    <t>https://www.linkedin.com/feed/update/urn:li:activity:7361877522877206529</t>
  </si>
  <si>
    <t>8/14/2025</t>
  </si>
  <si>
    <t>https://www.linkedin.com/feed/update/urn:li:activity:7392130153608478720</t>
  </si>
  <si>
    <t>11/6/2025</t>
  </si>
  <si>
    <t>https://www.linkedin.com/feed/update/urn:li:activity:7320785671357423616</t>
  </si>
  <si>
    <t>4/23/2025</t>
  </si>
  <si>
    <t>https://www.linkedin.com/feed/update/urn:li:activity:7382477204686917632</t>
  </si>
  <si>
    <t>10/10/2025</t>
  </si>
  <si>
    <t>https://www.linkedin.com/feed/update/urn:li:activity:7353068817058578432</t>
  </si>
  <si>
    <t>7/21/2025</t>
  </si>
  <si>
    <t>https://www.linkedin.com/feed/update/urn:li:activity:7383401607842910208</t>
  </si>
  <si>
    <t>10/13/2025</t>
  </si>
  <si>
    <t>https://www.linkedin.com/feed/update/urn:li:activity:7373285880242786308</t>
  </si>
  <si>
    <t>9/15/2025</t>
  </si>
  <si>
    <t>https://www.linkedin.com/feed/update/urn:li:activity:7391456154234826752</t>
  </si>
  <si>
    <t>11/4/2025</t>
  </si>
  <si>
    <t>https://www.linkedin.com/feed/update/urn:li:activity:7391128818809409536</t>
  </si>
  <si>
    <t>11/3/2025</t>
  </si>
  <si>
    <t>https://www.linkedin.com/feed/update/urn:li:activity:7351525522067054592</t>
  </si>
  <si>
    <t>7/17/2025</t>
  </si>
  <si>
    <t>https://www.linkedin.com/feed/update/urn:li:activity:7333394603380793345</t>
  </si>
  <si>
    <t>5/28/2025</t>
  </si>
  <si>
    <t>https://www.linkedin.com/feed/update/urn:li:activity:7353808870223355907</t>
  </si>
  <si>
    <t>7/23/2025</t>
  </si>
  <si>
    <t>https://www.linkedin.com/feed/update/urn:li:activity:7373601539036442624</t>
  </si>
  <si>
    <t>9/16/2025</t>
  </si>
  <si>
    <t>New followers</t>
  </si>
  <si>
    <t>Top Demographics</t>
  </si>
  <si>
    <t>Value</t>
  </si>
  <si>
    <t>Percentage</t>
  </si>
  <si>
    <t>Job titles</t>
  </si>
  <si>
    <t>Account Executive</t>
  </si>
  <si>
    <t>Founder</t>
  </si>
  <si>
    <t>Sales Director</t>
  </si>
  <si>
    <t>Vice President of Sales</t>
  </si>
  <si>
    <t>Enterprise Account Executive</t>
  </si>
  <si>
    <t>Locations</t>
  </si>
  <si>
    <t>London Area, United Kingdom</t>
  </si>
  <si>
    <t>New York City Metropolitan Area</t>
  </si>
  <si>
    <t>Greater Philadelphia</t>
  </si>
  <si>
    <t>Greater Paris Metropolitan Region</t>
  </si>
  <si>
    <t>Greater Boston</t>
  </si>
  <si>
    <t>Industries</t>
  </si>
  <si>
    <t>Software Development</t>
  </si>
  <si>
    <t>IT Services and IT Consulting</t>
  </si>
  <si>
    <t>Human Resources Services</t>
  </si>
  <si>
    <t>Business Consulting and Services</t>
  </si>
  <si>
    <t>Financial Services</t>
  </si>
  <si>
    <t>Seniority</t>
  </si>
  <si>
    <t>Senior</t>
  </si>
  <si>
    <t>Director</t>
  </si>
  <si>
    <t>Entry</t>
  </si>
  <si>
    <t>VP</t>
  </si>
  <si>
    <t>Manager</t>
  </si>
  <si>
    <t>Company size</t>
  </si>
  <si>
    <t>10,001+ employees</t>
  </si>
  <si>
    <t>5001-10,000 employees</t>
  </si>
  <si>
    <t>1001-5000 employees</t>
  </si>
  <si>
    <t>11-50 employees</t>
  </si>
  <si>
    <t>51-200 employees</t>
  </si>
  <si>
    <t>Companies</t>
  </si>
  <si>
    <t>ADP</t>
  </si>
  <si>
    <t>Dayforce</t>
  </si>
  <si>
    <t>UKG</t>
  </si>
  <si>
    <t>Oracle</t>
  </si>
  <si>
    <t>&lt; 1%</t>
  </si>
  <si>
    <t>Workday</t>
  </si>
  <si>
    <t>https://www.linkedin.com/feed/update/urn:li:activity:7284309421566885890</t>
  </si>
  <si>
    <t>1/12/2025</t>
  </si>
  <si>
    <t>https://www.linkedin.com/feed/update/urn:li:activity:7289377342739611648</t>
  </si>
  <si>
    <t>1/26/2025</t>
  </si>
  <si>
    <t>https://www.linkedin.com/feed/update/urn:li:activity:7287718182088310786</t>
  </si>
  <si>
    <t>1/22/2025</t>
  </si>
  <si>
    <t>https://www.linkedin.com/feed/update/urn:li:activity:7272999839632691200</t>
  </si>
  <si>
    <t>12/12/2024</t>
  </si>
  <si>
    <t>https://www.linkedin.com/feed/update/urn:li:activity:7284581078177054720</t>
  </si>
  <si>
    <t>1/13/2025</t>
  </si>
  <si>
    <t>https://www.linkedin.com/feed/update/urn:li:activity:7290351955745361920</t>
  </si>
  <si>
    <t>1/29/2025</t>
  </si>
  <si>
    <t>https://www.linkedin.com/feed/update/urn:li:activity:7291105394435710977</t>
  </si>
  <si>
    <t>1/31/2025</t>
  </si>
  <si>
    <t>https://www.linkedin.com/feed/update/urn:li:activity:7273096044479922176</t>
  </si>
  <si>
    <t>https://www.linkedin.com/feed/update/urn:li:activity:7270535073328730112</t>
  </si>
  <si>
    <t>12/5/2024</t>
  </si>
  <si>
    <t>https://www.linkedin.com/feed/update/urn:li:activity:7270398317618937856</t>
  </si>
  <si>
    <t>https://www.linkedin.com/feed/update/urn:li:activity:7270400209208098817</t>
  </si>
  <si>
    <t>https://www.linkedin.com/feed/update/urn:li:activity:7214018512313315329</t>
  </si>
  <si>
    <t>7/2/2024</t>
  </si>
  <si>
    <t>https://www.linkedin.com/feed/update/urn:li:activity:7249195717993410561</t>
  </si>
  <si>
    <t>10/7/2024</t>
  </si>
  <si>
    <t>https://www.linkedin.com/feed/update/urn:li:activity:7173584736676737025</t>
  </si>
  <si>
    <t>3/13/2024</t>
  </si>
  <si>
    <t>https://www.linkedin.com/feed/update/urn:li:activity:7257789357627949056</t>
  </si>
  <si>
    <t>10/31/2024</t>
  </si>
  <si>
    <t>https://www.linkedin.com/feed/update/urn:li:activity:7264222238147502080</t>
  </si>
  <si>
    <t>11/18/2024</t>
  </si>
  <si>
    <t>https://www.linkedin.com/feed/update/urn:li:activity:7231199554837057536</t>
  </si>
  <si>
    <t>8/19/2024</t>
  </si>
  <si>
    <t>https://www.linkedin.com/feed/update/urn:li:activity:7260739073642762242</t>
  </si>
  <si>
    <t>11/8/2024</t>
  </si>
  <si>
    <t>https://www.linkedin.com/feed/update/urn:li:activity:7257493541197594624</t>
  </si>
  <si>
    <t>10/30/2024</t>
  </si>
  <si>
    <t>https://www.linkedin.com/feed/update/urn:li:activity:7226153887127269378</t>
  </si>
  <si>
    <t>8/5/2024</t>
  </si>
  <si>
    <t>https://www.linkedin.com/feed/update/urn:li:activity:6622761230278893569</t>
  </si>
  <si>
    <t>1/14/2020</t>
  </si>
  <si>
    <t>https://www.linkedin.com/feed/update/urn:li:activity:7255546696485474305</t>
  </si>
  <si>
    <t>10/25/2024</t>
  </si>
  <si>
    <t>https://www.linkedin.com/feed/update/urn:li:activity:7191799925607653376</t>
  </si>
  <si>
    <t>5/2/2024</t>
  </si>
  <si>
    <t>https://www.linkedin.com/feed/update/urn:li:activity:7239864111302410240</t>
  </si>
  <si>
    <t>9/12/2024</t>
  </si>
  <si>
    <t>https://www.linkedin.com/feed/update/urn:li:activity:7155608206646398976</t>
  </si>
  <si>
    <t>1/23/2024</t>
  </si>
  <si>
    <t>https://www.linkedin.com/feed/update/urn:li:activity:7191830618979139587</t>
  </si>
  <si>
    <t>https://www.linkedin.com/feed/update/urn:li:activity:7242792916031614979</t>
  </si>
  <si>
    <t>9/20/2024</t>
  </si>
  <si>
    <t>https://www.linkedin.com/feed/update/urn:li:activity:7254490712895819777</t>
  </si>
  <si>
    <t>10/22/2024</t>
  </si>
  <si>
    <t>https://www.linkedin.com/feed/update/urn:li:activity:7244054191940190208</t>
  </si>
  <si>
    <t>9/23/2024</t>
  </si>
  <si>
    <t>https://www.linkedin.com/feed/update/urn:li:activity:7257118860091211776</t>
  </si>
  <si>
    <t>10/29/2024</t>
  </si>
  <si>
    <t>https://www.linkedin.com/feed/update/urn:li:activity:7212418991934369792</t>
  </si>
  <si>
    <t>6/28/2024</t>
  </si>
  <si>
    <t>https://www.linkedin.com/feed/update/urn:li:activity:7258233346676133889</t>
  </si>
  <si>
    <t>11/1/2024</t>
  </si>
  <si>
    <t>https://www.linkedin.com/feed/update/urn:li:activity:7193824013540859904</t>
  </si>
  <si>
    <t>5/8/2024</t>
  </si>
  <si>
    <t>https://www.linkedin.com/feed/update/urn:li:activity:7252792592923267072</t>
  </si>
  <si>
    <t>10/17/2024</t>
  </si>
  <si>
    <t>https://www.linkedin.com/feed/update/urn:li:activity:6940218614289506304</t>
  </si>
  <si>
    <t>6/8/2022</t>
  </si>
  <si>
    <t>https://www.linkedin.com/feed/update/urn:li:activity:6509107796426919936</t>
  </si>
  <si>
    <t>3/6/2019</t>
  </si>
  <si>
    <t>https://www.linkedin.com/feed/update/urn:li:activity:7224533695938883584</t>
  </si>
  <si>
    <t>7/31/2024</t>
  </si>
  <si>
    <t>https://www.linkedin.com/feed/update/urn:li:activity:7300878394349506560</t>
  </si>
  <si>
    <t>2/27/2025</t>
  </si>
  <si>
    <t>https://www.linkedin.com/feed/update/urn:li:activity:7295787358648451073</t>
  </si>
  <si>
    <t>2/13/2025</t>
  </si>
  <si>
    <t>https://www.linkedin.com/feed/update/urn:li:activity:7165378321655001088</t>
  </si>
  <si>
    <t>2/19/2024</t>
  </si>
  <si>
    <t>https://www.linkedin.com/feed/update/urn:li:activity:7181667091958169602</t>
  </si>
  <si>
    <t>4/4/2024</t>
  </si>
  <si>
    <t>https://www.linkedin.com/feed/update/urn:li:activity:7148947476866093057</t>
  </si>
  <si>
    <t>1/5/2024</t>
  </si>
  <si>
    <t>https://www.linkedin.com/feed/update/urn:li:activity:7165078245430775808</t>
  </si>
  <si>
    <t>2/18/2024</t>
  </si>
  <si>
    <t>https://www.linkedin.com/feed/update/urn:li:activity:7113195730109882368</t>
  </si>
  <si>
    <t>9/28/2023</t>
  </si>
  <si>
    <t>https://www.linkedin.com/feed/update/urn:li:activity:7190656386211414016</t>
  </si>
  <si>
    <t>4/29/2024</t>
  </si>
  <si>
    <t>https://www.linkedin.com/feed/update/urn:li:activity:7157725598734303233</t>
  </si>
  <si>
    <t>1/29/2024</t>
  </si>
  <si>
    <t>https://www.linkedin.com/feed/update/urn:li:activity:7079460453235453952</t>
  </si>
  <si>
    <t>6/27/2023</t>
  </si>
  <si>
    <t>https://www.linkedin.com/feed/update/urn:li:activity:6574551584699621376</t>
  </si>
  <si>
    <t>9/3/2019</t>
  </si>
  <si>
    <t>https://www.linkedin.com/feed/update/urn:li:activity:7190596847608979456</t>
  </si>
  <si>
    <t>https://www.linkedin.com/feed/update/urn:li:activity:7133814873108418560</t>
  </si>
  <si>
    <t>11/24/2023</t>
  </si>
  <si>
    <t>https://www.linkedin.com/feed/update/urn:li:activity:7133429051427299331</t>
  </si>
  <si>
    <t>11/23/2023</t>
  </si>
  <si>
    <t>https://www.linkedin.com/feed/update/urn:li:activity:7113136074725433344</t>
  </si>
  <si>
    <t>https://www.linkedin.com/feed/update/urn:li:activity:7218491025986568192</t>
  </si>
  <si>
    <t>7/15/2024</t>
  </si>
  <si>
    <t>https://www.linkedin.com/feed/update/urn:li:activity:7307368474891202562</t>
  </si>
  <si>
    <t>3/17/2025</t>
  </si>
  <si>
    <t>https://www.linkedin.com/feed/update/urn:li:activity:7307508800452743169</t>
  </si>
  <si>
    <t>https://www.linkedin.com/feed/update/urn:li:activity:7302257499313717248</t>
  </si>
  <si>
    <t>3/3/2025</t>
  </si>
  <si>
    <t>https://www.linkedin.com/feed/update/urn:li:activity:7166452518418378752</t>
  </si>
  <si>
    <t>2/22/2024</t>
  </si>
  <si>
    <t>https://www.linkedin.com/feed/update/urn:li:activity:7165605286894899200</t>
  </si>
  <si>
    <t>2/20/2024</t>
  </si>
  <si>
    <t>https://www.linkedin.com/feed/update/urn:li:activity:7075471472227438594</t>
  </si>
  <si>
    <t>6/16/2023</t>
  </si>
  <si>
    <t>https://www.linkedin.com/feed/update/urn:li:activity:6312634952135503872</t>
  </si>
  <si>
    <t>9/10/2017</t>
  </si>
  <si>
    <t>https://www.linkedin.com/feed/update/urn:li:activity:7057628795070996480</t>
  </si>
  <si>
    <t>4/28/2023</t>
  </si>
  <si>
    <t>https://www.linkedin.com/feed/update/urn:li:activity:6935897830872006656</t>
  </si>
  <si>
    <t>5/27/2022</t>
  </si>
  <si>
    <t>https://www.linkedin.com/feed/update/urn:li:activity:6924737030891438080</t>
  </si>
  <si>
    <t>4/26/2022</t>
  </si>
  <si>
    <t>https://www.linkedin.com/feed/update/urn:li:activity:7313907359465029632</t>
  </si>
  <si>
    <t>4/4/2025</t>
  </si>
  <si>
    <t>https://www.linkedin.com/feed/update/urn:li:activity:7313603524167176193</t>
  </si>
  <si>
    <t>4/3/2025</t>
  </si>
  <si>
    <t>https://www.linkedin.com/feed/update/urn:li:activity:7322648771832520707</t>
  </si>
  <si>
    <t>4/28/2025</t>
  </si>
  <si>
    <t>https://www.linkedin.com/feed/update/urn:li:activity:7120389074678345728</t>
  </si>
  <si>
    <t>10/18/2023</t>
  </si>
  <si>
    <t>https://www.linkedin.com/feed/update/urn:li:activity:7086702060636659712</t>
  </si>
  <si>
    <t>7/17/2023</t>
  </si>
  <si>
    <t>https://www.linkedin.com/feed/update/urn:li:activity:7091501726779748353</t>
  </si>
  <si>
    <t>7/30/2023</t>
  </si>
  <si>
    <t>https://www.linkedin.com/feed/update/urn:li:activity:7003302688012525568</t>
  </si>
  <si>
    <t>11/29/2022</t>
  </si>
  <si>
    <t>https://www.linkedin.com/feed/update/urn:li:activity:7064555724319641600</t>
  </si>
  <si>
    <t>5/17/2023</t>
  </si>
  <si>
    <t>https://www.linkedin.com/feed/update/urn:li:activity:7038878692067958786</t>
  </si>
  <si>
    <t>3/7/2023</t>
  </si>
  <si>
    <t>https://www.linkedin.com/feed/update/urn:li:activity:6914531884592979968</t>
  </si>
  <si>
    <t>3/29/2022</t>
  </si>
  <si>
    <t>https://www.linkedin.com/feed/update/urn:li:activity:6914202358344241152</t>
  </si>
  <si>
    <t>3/28/2022</t>
  </si>
  <si>
    <t>https://www.linkedin.com/feed/update/urn:li:activity:6934418308498685952</t>
  </si>
  <si>
    <t>5/23/2022</t>
  </si>
  <si>
    <t>https://www.linkedin.com/feed/update/urn:li:activity:6909967228142546947</t>
  </si>
  <si>
    <t>3/16/2022</t>
  </si>
  <si>
    <t>https://www.linkedin.com/feed/update/urn:li:activity:7189660575516295169</t>
  </si>
  <si>
    <t>4/26/2024</t>
  </si>
  <si>
    <t>https://www.linkedin.com/feed/update/urn:li:activity:7189297938869669888</t>
  </si>
  <si>
    <t>4/25/2024</t>
  </si>
  <si>
    <t>https://www.linkedin.com/feed/update/urn:li:activity:7158843524732346368</t>
  </si>
  <si>
    <t>2/1/2024</t>
  </si>
  <si>
    <t>https://www.linkedin.com/feed/update/urn:li:activity:7155154647744135168</t>
  </si>
  <si>
    <t>1/22/2024</t>
  </si>
  <si>
    <t>https://www.linkedin.com/feed/update/urn:li:activity:7189176524472811520</t>
  </si>
  <si>
    <t>https://www.linkedin.com/feed/update/urn:li:activity:7155185164292145152</t>
  </si>
  <si>
    <t>https://www.linkedin.com/feed/update/urn:li:activity:7156272573729619969</t>
  </si>
  <si>
    <t>1/25/2024</t>
  </si>
  <si>
    <t>https://www.linkedin.com/feed/update/urn:li:activity:7165967947998416896</t>
  </si>
  <si>
    <t>2/21/2024</t>
  </si>
  <si>
    <t>https://www.linkedin.com/feed/update/urn:li:activity:7191110152484237312</t>
  </si>
  <si>
    <t>4/30/2024</t>
  </si>
  <si>
    <t>https://www.linkedin.com/feed/update/urn:li:activity:7155909945442377728</t>
  </si>
  <si>
    <t>1/24/2024</t>
  </si>
  <si>
    <t>https://www.linkedin.com/feed/update/urn:li:activity:7173048812956028928</t>
  </si>
  <si>
    <t>3/11/2024</t>
  </si>
  <si>
    <t>https://www.linkedin.com/feed/update/urn:li:activity:7155547570348412928</t>
  </si>
  <si>
    <t>https://www.linkedin.com/feed/update/urn:li:activity:7326227898695118849</t>
  </si>
  <si>
    <t>5/8/2025</t>
  </si>
  <si>
    <t>https://www.linkedin.com/feed/update/urn:li:activity:7333137794736820224</t>
  </si>
  <si>
    <t>5/27/2025</t>
  </si>
  <si>
    <t>https://www.linkedin.com/feed/update/urn:li:activity:7334262624408268802</t>
  </si>
  <si>
    <t>5/30/2025</t>
  </si>
  <si>
    <t>https://www.linkedin.com/feed/update/urn:li:activity:7333923086410420224</t>
  </si>
  <si>
    <t>5/29/2025</t>
  </si>
  <si>
    <t>https://www.linkedin.com/feed/update/urn:li:activity:7215771278064922624</t>
  </si>
  <si>
    <t>7/7/2024</t>
  </si>
  <si>
    <t>https://www.linkedin.com/feed/update/urn:li:activity:7054328374743224320</t>
  </si>
  <si>
    <t>4/19/2023</t>
  </si>
  <si>
    <t>https://www.linkedin.com/feed/update/urn:li:activity:7150790464315486208</t>
  </si>
  <si>
    <t>1/10/2024</t>
  </si>
  <si>
    <t>https://www.linkedin.com/feed/update/urn:li:activity:6960542885096103936</t>
  </si>
  <si>
    <t>8/3/2022</t>
  </si>
  <si>
    <t>https://www.linkedin.com/feed/update/urn:li:activity:7150428071852916739</t>
  </si>
  <si>
    <t>1/9/2024</t>
  </si>
  <si>
    <t>https://www.linkedin.com/feed/update/urn:li:activity:7192192774446661632</t>
  </si>
  <si>
    <t>5/3/2024</t>
  </si>
  <si>
    <t>https://www.linkedin.com/feed/update/urn:li:activity:6996439598616739840</t>
  </si>
  <si>
    <t>11/10/2022</t>
  </si>
  <si>
    <t>https://www.linkedin.com/feed/update/urn:li:activity:7338185626707521536</t>
  </si>
  <si>
    <t>6/10/2025</t>
  </si>
  <si>
    <t>https://www.linkedin.com/feed/update/urn:li:activity:7338243554508500992</t>
  </si>
  <si>
    <t>https://www.linkedin.com/feed/update/urn:li:activity:7335844203609944064</t>
  </si>
  <si>
    <t>6/4/2025</t>
  </si>
  <si>
    <t>https://www.linkedin.com/feed/update/urn:li:activity:7344687529767428097</t>
  </si>
  <si>
    <t>6/28/2025</t>
  </si>
  <si>
    <t>https://www.linkedin.com/feed/update/urn:li:activity:7189569228490858497</t>
  </si>
  <si>
    <t>https://www.linkedin.com/feed/update/urn:li:activity:7165740966685892609</t>
  </si>
  <si>
    <t>https://www.linkedin.com/feed/update/urn:li:activity:7189176741926481922</t>
  </si>
  <si>
    <t>https://www.linkedin.com/feed/update/urn:li:activity:7039170696421208064</t>
  </si>
  <si>
    <t>3/8/2023</t>
  </si>
  <si>
    <t>https://www.linkedin.com/feed/update/urn:li:activity:7041029638130696194</t>
  </si>
  <si>
    <t>3/13/2023</t>
  </si>
  <si>
    <t>https://www.linkedin.com/feed/update/urn:li:activity:7053725303910584320</t>
  </si>
  <si>
    <t>4/17/2023</t>
  </si>
  <si>
    <t>https://www.linkedin.com/feed/update/urn:li:activity:6156157702717390849</t>
  </si>
  <si>
    <t>7/5/2016</t>
  </si>
  <si>
    <t>https://www.linkedin.com/feed/update/urn:li:activity:6574652465348657152</t>
  </si>
  <si>
    <t>https://www.linkedin.com/feed/update/urn:li:activity:7134917607844909057</t>
  </si>
  <si>
    <t>11/27/2023</t>
  </si>
  <si>
    <t>https://www.linkedin.com/feed/update/urn:li:activity:6377444714056019968</t>
  </si>
  <si>
    <t>3/8/2018</t>
  </si>
  <si>
    <t>https://www.linkedin.com/feed/update/urn:li:activity:7113134982759362561</t>
  </si>
  <si>
    <t>https://www.linkedin.com/feed/update/urn:li:activity:7353446234486886401</t>
  </si>
  <si>
    <t>7/22/2025</t>
  </si>
  <si>
    <t>https://www.linkedin.com/feed/update/urn:li:activity:7354171257933725696</t>
  </si>
  <si>
    <t>7/24/2025</t>
  </si>
  <si>
    <t>https://www.linkedin.com/feed/update/urn:li:activity:7348702755059851264</t>
  </si>
  <si>
    <t>https://www.linkedin.com/feed/update/urn:li:activity:7355621062631456768</t>
  </si>
  <si>
    <t>7/28/2025</t>
  </si>
  <si>
    <t>https://www.linkedin.com/feed/update/urn:li:activity:7121190161115148288</t>
  </si>
  <si>
    <t>10/20/2023</t>
  </si>
  <si>
    <t>https://www.linkedin.com/feed/update/urn:li:activity:7362126756322947074</t>
  </si>
  <si>
    <t>8/15/2025</t>
  </si>
  <si>
    <t>https://www.linkedin.com/feed/update/urn:li:activity:7358088364991889408</t>
  </si>
  <si>
    <t>8/4/2025</t>
  </si>
  <si>
    <t>https://www.linkedin.com/feed/update/urn:li:activity:7373317720756600832</t>
  </si>
  <si>
    <t>https://www.linkedin.com/feed/update/urn:li:activity:7375882264263467008</t>
  </si>
  <si>
    <t>9/22/2025</t>
  </si>
  <si>
    <t>https://www.linkedin.com/feed/update/urn:li:activity:7371293905381810176</t>
  </si>
  <si>
    <t>9/9/2025</t>
  </si>
  <si>
    <t>https://www.linkedin.com/feed/update/urn:li:activity:7368533773325352960</t>
  </si>
  <si>
    <t>9/2/2025</t>
  </si>
  <si>
    <t>https://www.linkedin.com/feed/update/urn:li:activity:7373275614746746880</t>
  </si>
  <si>
    <t>https://www.linkedin.com/feed/update/urn:li:activity:6469294814738280448</t>
  </si>
  <si>
    <t>11/16/2018</t>
  </si>
  <si>
    <t>https://www.linkedin.com/feed/update/urn:li:activity:7379770173995577345</t>
  </si>
  <si>
    <t>https://www.linkedin.com/feed/update/urn:li:activity:6506900391064539137</t>
  </si>
  <si>
    <t>2/28/2019</t>
  </si>
  <si>
    <t>https://www.linkedin.com/feed/update/urn:li:activity:7081556001430069248</t>
  </si>
  <si>
    <t>7/3/2023</t>
  </si>
  <si>
    <t>https://www.linkedin.com/feed/update/urn:li:activity:6506898718439010304</t>
  </si>
  <si>
    <t>https://www.linkedin.com/feed/update/urn:li:activity:6777524192653963264</t>
  </si>
  <si>
    <t>3/16/2021</t>
  </si>
  <si>
    <t>https://www.linkedin.com/feed/update/urn:li:activity:7164306054250479616</t>
  </si>
  <si>
    <t>2/16/2024</t>
  </si>
  <si>
    <t>https://www.linkedin.com/feed/update/urn:li:activity:7137838106229039105</t>
  </si>
  <si>
    <t>12/5/2023</t>
  </si>
  <si>
    <t>https://www.linkedin.com/feed/update/urn:li:activity:7158118486894931969</t>
  </si>
  <si>
    <t>1/30/2024</t>
  </si>
  <si>
    <t>https://www.linkedin.com/feed/update/urn:li:activity:7174123090593861632</t>
  </si>
  <si>
    <t>3/14/2024</t>
  </si>
  <si>
    <t>https://www.linkedin.com/feed/update/urn:li:activity:7184148832669061120</t>
  </si>
  <si>
    <t>4/11/2024</t>
  </si>
  <si>
    <t>https://www.linkedin.com/feed/update/urn:li:activity:7193491587543224320</t>
  </si>
  <si>
    <t>5/7/2024</t>
  </si>
  <si>
    <t>https://www.linkedin.com/feed/update/urn:li:activity:7422364562756288512/</t>
  </si>
  <si>
    <t>https://www.linkedin.com/feed/update/urn:li:activity:7420422539941834753/</t>
  </si>
  <si>
    <t>https://www.linkedin.com/feed/update/urn:li:activity:7422774235837882368/</t>
  </si>
  <si>
    <t>https://www.linkedin.com/feed/update/urn:li:activity:7423736066450300928/</t>
  </si>
  <si>
    <t>https://www.linkedin.com/feed/update/urn:li:activity:7421500916853288960/</t>
  </si>
  <si>
    <t>https://www.linkedin.com/feed/update/urn:li:activity:7425459284324319232/</t>
  </si>
  <si>
    <t>https://www.linkedin.com/feed/update/urn:li:activity:7422923544487055360/</t>
  </si>
  <si>
    <t>https://www.linkedin.com/feed/update/urn:li:activity:7424369664467660800/</t>
  </si>
  <si>
    <t>https://www.linkedin.com/feed/update/urn:li:activity:7424054497959661568/</t>
  </si>
  <si>
    <t>https://www.linkedin.com/feed/update/urn:li:activity:7421838251558170625/</t>
  </si>
  <si>
    <t>https://www.linkedin.com/feed/update/urn:li:activity:7418952594917613568/</t>
  </si>
  <si>
    <t>https://www.linkedin.com/feed/update/urn:li:activity:7426566495159226368/</t>
  </si>
  <si>
    <t>https://www.linkedin.com/feed/update/urn:li:activity:7425146854830473216/</t>
  </si>
  <si>
    <t>https://www.linkedin.com/feed/update/urn:li:activity:7320785671357423616/</t>
  </si>
  <si>
    <t>https://www.linkedin.com/feed/update/urn:li:activity:7329043662779084800/</t>
  </si>
  <si>
    <t>https://www.linkedin.com/feed/update/urn:li:activity:7330228302336397313/</t>
  </si>
  <si>
    <t>https://www.linkedin.com/feed/update/urn:li:activity:7333394603380793345/</t>
  </si>
  <si>
    <t>https://www.linkedin.com/feed/update/urn:li:activity:7341127647604690946/</t>
  </si>
  <si>
    <t>https://www.linkedin.com/feed/update/urn:li:activity:7348815874650198018/</t>
  </si>
  <si>
    <t>https://www.linkedin.com/feed/update/urn:li:activity:7351525522067054592/</t>
  </si>
  <si>
    <t>https://www.linkedin.com/feed/update/urn:li:activity:7353808870223355907/</t>
  </si>
  <si>
    <t>https://www.linkedin.com/feed/update/urn:li:activity:7353068817058578432/</t>
  </si>
  <si>
    <t>https://www.linkedin.com/feed/update/urn:li:activity:7367237163127635968/</t>
  </si>
  <si>
    <t>https://www.linkedin.com/feed/update/urn:li:activity:7361877522877206529/</t>
  </si>
  <si>
    <t>https://www.linkedin.com/feed/update/urn:li:activity:7373285880242786308/</t>
  </si>
  <si>
    <t>https://www.linkedin.com/feed/update/urn:li:activity:7373601539036442624/</t>
  </si>
  <si>
    <t>https://www.linkedin.com/feed/update/urn:li:activity:7379798873013239808/</t>
  </si>
  <si>
    <t>https://www.linkedin.com/feed/update/urn:li:activity:7386862136712675328/</t>
  </si>
  <si>
    <t>https://www.linkedin.com/feed/update/urn:li:activity:7381392068423680000/</t>
  </si>
  <si>
    <t>https://www.linkedin.com/feed/update/urn:li:activity:7382477204686917632/</t>
  </si>
  <si>
    <t>https://www.linkedin.com/feed/update/urn:li:activity:7383401607842910208/</t>
  </si>
  <si>
    <t>https://www.linkedin.com/feed/update/urn:li:activity:7394095727116705792/</t>
  </si>
  <si>
    <t>https://www.linkedin.com/feed/update/urn:li:activity:7396880057752887296/</t>
  </si>
  <si>
    <t>https://www.linkedin.com/feed/update/urn:li:activity:7391456154234826752/</t>
  </si>
  <si>
    <t>https://www.linkedin.com/feed/update/urn:li:activity:7391128818809409536/</t>
  </si>
  <si>
    <t>https://www.linkedin.com/feed/update/urn:li:activity:7396105895014993920/</t>
  </si>
  <si>
    <t>https://www.linkedin.com/feed/update/urn:li:activity:7392130153608478720/</t>
  </si>
  <si>
    <t>https://www.linkedin.com/feed/update/urn:li:activity:7406304172867743744/</t>
  </si>
  <si>
    <t>https://www.linkedin.com/feed/update/urn:li:activity:7407744163548512257/</t>
  </si>
  <si>
    <t>https://www.linkedin.com/feed/update/urn:li:activity:7407043077183262720/</t>
  </si>
  <si>
    <t>https://www.linkedin.com/feed/update/urn:li:activity:7404869759596388352/</t>
  </si>
  <si>
    <t>https://www.linkedin.com/feed/update/urn:li:activity:7405184685728796672/</t>
  </si>
  <si>
    <t>https://www.linkedin.com/feed/update/urn:li:activity:7406671506350637057/</t>
  </si>
  <si>
    <t>https://www.linkedin.com/feed/update/urn:li:activity:7409343831193657344/</t>
  </si>
  <si>
    <t>https://www.linkedin.com/feed/update/urn:li:activity:7409153529006936064/</t>
  </si>
  <si>
    <t>https://www.linkedin.com/feed/update/urn:li:activity:7416828278642196480/</t>
  </si>
  <si>
    <t>https://www.linkedin.com/feed/update/urn:li:activity:7417127183514763264/</t>
  </si>
  <si>
    <t>https://www.linkedin.com/feed/update/urn:li:activity:7417530930526998530/</t>
  </si>
  <si>
    <t>https://www.linkedin.com/feed/update/urn:li:activity:7417875631364825088/</t>
  </si>
  <si>
    <t>Total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</si>
</sst>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9" fontId="0" fillId="0" borderId="0" xfId="0" applyNumberFormat="1"/>
    <xf numFmtId="0" fontId="1" fillId="0" borderId="1" xfId="0" applyFont="1" applyBorder="1" applyAlignment="1">
      <alignment horizontal="center"/>
    </xf>
    <xf numFmtId="0" fontId="64" fillId="0" borderId="1" xfId="0" applyFont="1" applyBorder="1"/>
    <xf numFmtId="0" fontId="6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feed/update/urn:li:activity:7426566495159226368" TargetMode="External"/><Relationship Id="rId18" Type="http://schemas.openxmlformats.org/officeDocument/2006/relationships/hyperlink" Target="https://www.linkedin.com/feed/update/urn:li:activity:7406671506350637057" TargetMode="External"/><Relationship Id="rId26" Type="http://schemas.openxmlformats.org/officeDocument/2006/relationships/hyperlink" Target="https://www.linkedin.com/feed/update/urn:li:activity:7367237163127635968" TargetMode="External"/><Relationship Id="rId39" Type="http://schemas.openxmlformats.org/officeDocument/2006/relationships/hyperlink" Target="https://www.linkedin.com/feed/update/urn:li:activity:7392130153608478720" TargetMode="External"/><Relationship Id="rId21" Type="http://schemas.openxmlformats.org/officeDocument/2006/relationships/hyperlink" Target="https://www.linkedin.com/feed/update/urn:li:activity:7407043077183262720" TargetMode="External"/><Relationship Id="rId34" Type="http://schemas.openxmlformats.org/officeDocument/2006/relationships/hyperlink" Target="https://www.linkedin.com/feed/update/urn:li:activity:7404869759596388352" TargetMode="External"/><Relationship Id="rId42" Type="http://schemas.openxmlformats.org/officeDocument/2006/relationships/hyperlink" Target="https://www.linkedin.com/feed/update/urn:li:activity:7353068817058578432" TargetMode="External"/><Relationship Id="rId47" Type="http://schemas.openxmlformats.org/officeDocument/2006/relationships/hyperlink" Target="https://www.linkedin.com/feed/update/urn:li:activity:7351525522067054592" TargetMode="External"/><Relationship Id="rId50" Type="http://schemas.openxmlformats.org/officeDocument/2006/relationships/hyperlink" Target="https://www.linkedin.com/feed/update/urn:li:activity:7373601539036442624" TargetMode="External"/><Relationship Id="rId7" Type="http://schemas.openxmlformats.org/officeDocument/2006/relationships/hyperlink" Target="https://www.linkedin.com/feed/update/urn:li:activity:7422923544487055360" TargetMode="External"/><Relationship Id="rId2" Type="http://schemas.openxmlformats.org/officeDocument/2006/relationships/hyperlink" Target="https://www.linkedin.com/feed/update/urn:li:activity:7420422539941834753" TargetMode="External"/><Relationship Id="rId16" Type="http://schemas.openxmlformats.org/officeDocument/2006/relationships/hyperlink" Target="https://www.linkedin.com/feed/update/urn:li:activity:7417127183514763264" TargetMode="External"/><Relationship Id="rId29" Type="http://schemas.openxmlformats.org/officeDocument/2006/relationships/hyperlink" Target="https://www.linkedin.com/feed/update/urn:li:activity:7348815874650198018" TargetMode="External"/><Relationship Id="rId11" Type="http://schemas.openxmlformats.org/officeDocument/2006/relationships/hyperlink" Target="https://www.linkedin.com/feed/update/urn:li:activity:7418952594917613568" TargetMode="External"/><Relationship Id="rId24" Type="http://schemas.openxmlformats.org/officeDocument/2006/relationships/hyperlink" Target="https://www.linkedin.com/feed/update/urn:li:activity:7406304172867743744" TargetMode="External"/><Relationship Id="rId32" Type="http://schemas.openxmlformats.org/officeDocument/2006/relationships/hyperlink" Target="https://www.linkedin.com/feed/update/urn:li:activity:7330228302336397313" TargetMode="External"/><Relationship Id="rId37" Type="http://schemas.openxmlformats.org/officeDocument/2006/relationships/hyperlink" Target="https://www.linkedin.com/feed/update/urn:li:activity:7381392068423680000" TargetMode="External"/><Relationship Id="rId40" Type="http://schemas.openxmlformats.org/officeDocument/2006/relationships/hyperlink" Target="https://www.linkedin.com/feed/update/urn:li:activity:7320785671357423616" TargetMode="External"/><Relationship Id="rId45" Type="http://schemas.openxmlformats.org/officeDocument/2006/relationships/hyperlink" Target="https://www.linkedin.com/feed/update/urn:li:activity:7391456154234826752" TargetMode="External"/><Relationship Id="rId5" Type="http://schemas.openxmlformats.org/officeDocument/2006/relationships/hyperlink" Target="https://www.linkedin.com/feed/update/urn:li:activity:7421500916853288960" TargetMode="External"/><Relationship Id="rId15" Type="http://schemas.openxmlformats.org/officeDocument/2006/relationships/hyperlink" Target="https://www.linkedin.com/feed/update/urn:li:activity:7417530930526998530" TargetMode="External"/><Relationship Id="rId23" Type="http://schemas.openxmlformats.org/officeDocument/2006/relationships/hyperlink" Target="https://www.linkedin.com/feed/update/urn:li:activity:7405184685728796672" TargetMode="External"/><Relationship Id="rId28" Type="http://schemas.openxmlformats.org/officeDocument/2006/relationships/hyperlink" Target="https://www.linkedin.com/feed/update/urn:li:activity:7394095727116705792" TargetMode="External"/><Relationship Id="rId36" Type="http://schemas.openxmlformats.org/officeDocument/2006/relationships/hyperlink" Target="https://www.linkedin.com/feed/update/urn:li:activity:7279522660940746753" TargetMode="External"/><Relationship Id="rId49" Type="http://schemas.openxmlformats.org/officeDocument/2006/relationships/hyperlink" Target="https://www.linkedin.com/feed/update/urn:li:activity:7353808870223355907" TargetMode="External"/><Relationship Id="rId10" Type="http://schemas.openxmlformats.org/officeDocument/2006/relationships/hyperlink" Target="https://www.linkedin.com/feed/update/urn:li:activity:7421838251558170625" TargetMode="External"/><Relationship Id="rId19" Type="http://schemas.openxmlformats.org/officeDocument/2006/relationships/hyperlink" Target="https://www.linkedin.com/feed/update/urn:li:activity:7409343831193657344" TargetMode="External"/><Relationship Id="rId31" Type="http://schemas.openxmlformats.org/officeDocument/2006/relationships/hyperlink" Target="https://www.linkedin.com/feed/update/urn:li:activity:7386862136712675328" TargetMode="External"/><Relationship Id="rId44" Type="http://schemas.openxmlformats.org/officeDocument/2006/relationships/hyperlink" Target="https://www.linkedin.com/feed/update/urn:li:activity:7373285880242786308" TargetMode="External"/><Relationship Id="rId4" Type="http://schemas.openxmlformats.org/officeDocument/2006/relationships/hyperlink" Target="https://www.linkedin.com/feed/update/urn:li:activity:7423736066450300928" TargetMode="External"/><Relationship Id="rId9" Type="http://schemas.openxmlformats.org/officeDocument/2006/relationships/hyperlink" Target="https://www.linkedin.com/feed/update/urn:li:activity:7424054497959661568" TargetMode="External"/><Relationship Id="rId14" Type="http://schemas.openxmlformats.org/officeDocument/2006/relationships/hyperlink" Target="https://www.linkedin.com/feed/update/urn:li:activity:7417875631364825088" TargetMode="External"/><Relationship Id="rId22" Type="http://schemas.openxmlformats.org/officeDocument/2006/relationships/hyperlink" Target="https://www.linkedin.com/feed/update/urn:li:activity:7329043662779084800" TargetMode="External"/><Relationship Id="rId27" Type="http://schemas.openxmlformats.org/officeDocument/2006/relationships/hyperlink" Target="https://www.linkedin.com/feed/update/urn:li:activity:7396880057752887296" TargetMode="External"/><Relationship Id="rId30" Type="http://schemas.openxmlformats.org/officeDocument/2006/relationships/hyperlink" Target="https://www.linkedin.com/feed/update/urn:li:activity:7341127647604690946" TargetMode="External"/><Relationship Id="rId35" Type="http://schemas.openxmlformats.org/officeDocument/2006/relationships/hyperlink" Target="https://www.linkedin.com/feed/update/urn:li:activity:7379798873013239808" TargetMode="External"/><Relationship Id="rId43" Type="http://schemas.openxmlformats.org/officeDocument/2006/relationships/hyperlink" Target="https://www.linkedin.com/feed/update/urn:li:activity:7383401607842910208" TargetMode="External"/><Relationship Id="rId48" Type="http://schemas.openxmlformats.org/officeDocument/2006/relationships/hyperlink" Target="https://www.linkedin.com/feed/update/urn:li:activity:7333394603380793345" TargetMode="External"/><Relationship Id="rId8" Type="http://schemas.openxmlformats.org/officeDocument/2006/relationships/hyperlink" Target="https://www.linkedin.com/feed/update/urn:li:activity:7424369664467660800" TargetMode="External"/><Relationship Id="rId3" Type="http://schemas.openxmlformats.org/officeDocument/2006/relationships/hyperlink" Target="https://www.linkedin.com/feed/update/urn:li:activity:7422774235837882368" TargetMode="External"/><Relationship Id="rId12" Type="http://schemas.openxmlformats.org/officeDocument/2006/relationships/hyperlink" Target="https://www.linkedin.com/feed/update/urn:li:activity:7416828278642196480" TargetMode="External"/><Relationship Id="rId17" Type="http://schemas.openxmlformats.org/officeDocument/2006/relationships/hyperlink" Target="https://www.linkedin.com/feed/update/urn:li:activity:7425146854830473216" TargetMode="External"/><Relationship Id="rId25" Type="http://schemas.openxmlformats.org/officeDocument/2006/relationships/hyperlink" Target="https://www.linkedin.com/feed/update/urn:li:activity:7407744163548512257" TargetMode="External"/><Relationship Id="rId33" Type="http://schemas.openxmlformats.org/officeDocument/2006/relationships/hyperlink" Target="https://www.linkedin.com/feed/update/urn:li:activity:7396105895014993920" TargetMode="External"/><Relationship Id="rId38" Type="http://schemas.openxmlformats.org/officeDocument/2006/relationships/hyperlink" Target="https://www.linkedin.com/feed/update/urn:li:activity:7361877522877206529" TargetMode="External"/><Relationship Id="rId46" Type="http://schemas.openxmlformats.org/officeDocument/2006/relationships/hyperlink" Target="https://www.linkedin.com/feed/update/urn:li:activity:7391128818809409536" TargetMode="External"/><Relationship Id="rId20" Type="http://schemas.openxmlformats.org/officeDocument/2006/relationships/hyperlink" Target="https://www.linkedin.com/feed/update/urn:li:activity:7409153529006936064" TargetMode="External"/><Relationship Id="rId41" Type="http://schemas.openxmlformats.org/officeDocument/2006/relationships/hyperlink" Target="https://www.linkedin.com/feed/update/urn:li:activity:7382477204686917632" TargetMode="External"/><Relationship Id="rId1" Type="http://schemas.openxmlformats.org/officeDocument/2006/relationships/hyperlink" Target="https://www.linkedin.com/feed/update/urn:li:activity:7422364562756288512" TargetMode="External"/><Relationship Id="rId6" Type="http://schemas.openxmlformats.org/officeDocument/2006/relationships/hyperlink" Target="https://www.linkedin.com/feed/update/urn:li:activity:7425459284324319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cols>
    <col min="1" max="1" width="18.83203125" bestFit="1" customWidth="1"/>
    <col min="2" max="2" width="17.664062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t="s">
        <v>2</v>
      </c>
      <c r="B2">
        <v>59151</v>
      </c>
    </row>
    <row r="3" spans="1:2" x14ac:dyDescent="0.2">
      <c r="A3" t="s">
        <v>3</v>
      </c>
      <c r="B3">
        <v>17060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8.83203125" bestFit="1" customWidth="1"/>
    <col min="2" max="2" width="11.6640625" bestFit="1" customWidth="1"/>
    <col min="3" max="3" width="12.83203125" bestFit="1" customWidth="1"/>
  </cols>
  <sheetData>
    <row r="1" spans="1:3" x14ac:dyDescent="0.2">
      <c r="A1" s="2" t="s">
        <v>4</v>
      </c>
      <c r="B1" s="3" t="s">
        <v>2</v>
      </c>
      <c r="C1" s="4" t="s">
        <v>5</v>
      </c>
    </row>
    <row r="2" spans="1:3" x14ac:dyDescent="0.2">
      <c r="A2" t="s">
        <v>6</v>
      </c>
      <c r="B2">
        <v>353</v>
      </c>
      <c r="C2">
        <v>4</v>
      </c>
    </row>
    <row r="3" spans="1:3" x14ac:dyDescent="0.2">
      <c r="A3" t="s">
        <v>7</v>
      </c>
      <c r="B3">
        <v>407</v>
      </c>
      <c r="C3">
        <v>5</v>
      </c>
    </row>
    <row r="4" spans="1:3" x14ac:dyDescent="0.2">
      <c r="A4" t="s">
        <v>8</v>
      </c>
      <c r="B4">
        <v>1498</v>
      </c>
      <c r="C4">
        <v>31</v>
      </c>
    </row>
    <row r="5" spans="1:3" x14ac:dyDescent="0.2">
      <c r="A5" t="s">
        <v>9</v>
      </c>
      <c r="B5">
        <v>560</v>
      </c>
      <c r="C5">
        <v>5</v>
      </c>
    </row>
    <row r="6" spans="1:3" x14ac:dyDescent="0.2">
      <c r="A6" t="s">
        <v>10</v>
      </c>
      <c r="B6">
        <v>359</v>
      </c>
      <c r="C6">
        <v>2</v>
      </c>
    </row>
    <row r="7" spans="1:3" x14ac:dyDescent="0.2">
      <c r="A7" t="s">
        <v>11</v>
      </c>
      <c r="B7">
        <v>326</v>
      </c>
      <c r="C7">
        <v>3</v>
      </c>
    </row>
    <row r="8" spans="1:3" x14ac:dyDescent="0.2">
      <c r="A8" t="s">
        <v>12</v>
      </c>
      <c r="B8">
        <v>3751</v>
      </c>
      <c r="C8">
        <v>98</v>
      </c>
    </row>
    <row r="9" spans="1:3" x14ac:dyDescent="0.2">
      <c r="A9" t="s">
        <v>13</v>
      </c>
      <c r="B9">
        <v>1737</v>
      </c>
      <c r="C9">
        <v>36</v>
      </c>
    </row>
    <row r="10" spans="1:3" x14ac:dyDescent="0.2">
      <c r="A10" t="s">
        <v>14</v>
      </c>
      <c r="B10">
        <v>1174</v>
      </c>
      <c r="C10">
        <v>22</v>
      </c>
    </row>
    <row r="11" spans="1:3" x14ac:dyDescent="0.2">
      <c r="A11" t="s">
        <v>15</v>
      </c>
      <c r="B11">
        <v>3033</v>
      </c>
      <c r="C11">
        <v>49</v>
      </c>
    </row>
    <row r="12" spans="1:3" x14ac:dyDescent="0.2">
      <c r="A12" t="s">
        <v>16</v>
      </c>
      <c r="B12">
        <v>2474</v>
      </c>
      <c r="C12">
        <v>63</v>
      </c>
    </row>
    <row r="13" spans="1:3" x14ac:dyDescent="0.2">
      <c r="A13" t="s">
        <v>17</v>
      </c>
      <c r="B13">
        <v>4652</v>
      </c>
      <c r="C13">
        <v>90</v>
      </c>
    </row>
    <row r="14" spans="1:3" x14ac:dyDescent="0.2">
      <c r="A14" t="s">
        <v>18</v>
      </c>
      <c r="B14">
        <v>7929</v>
      </c>
      <c r="C14">
        <v>129</v>
      </c>
    </row>
    <row r="15" spans="1:3" x14ac:dyDescent="0.2">
      <c r="A15" t="s">
        <v>19</v>
      </c>
      <c r="B15">
        <v>7969</v>
      </c>
      <c r="C15">
        <v>163</v>
      </c>
    </row>
    <row r="16" spans="1:3" x14ac:dyDescent="0.2">
      <c r="A16" t="s">
        <v>20</v>
      </c>
      <c r="B16">
        <v>1912</v>
      </c>
      <c r="C16">
        <v>31</v>
      </c>
    </row>
    <row r="17" spans="1:3" x14ac:dyDescent="0.2">
      <c r="A17" t="s">
        <v>21</v>
      </c>
      <c r="B17">
        <v>2884</v>
      </c>
      <c r="C17">
        <v>34</v>
      </c>
    </row>
    <row r="18" spans="1:3" x14ac:dyDescent="0.2">
      <c r="A18" t="s">
        <v>22</v>
      </c>
      <c r="B18">
        <v>3798</v>
      </c>
      <c r="C18">
        <v>80</v>
      </c>
    </row>
    <row r="19" spans="1:3" x14ac:dyDescent="0.2">
      <c r="A19" t="s">
        <v>23</v>
      </c>
      <c r="B19">
        <v>3367</v>
      </c>
      <c r="C19">
        <v>70</v>
      </c>
    </row>
    <row r="20" spans="1:3" x14ac:dyDescent="0.2">
      <c r="A20" t="s">
        <v>24</v>
      </c>
      <c r="B20">
        <v>1747</v>
      </c>
      <c r="C20">
        <v>22</v>
      </c>
    </row>
    <row r="21" spans="1:3" x14ac:dyDescent="0.2">
      <c r="A21" t="s">
        <v>25</v>
      </c>
      <c r="B21">
        <v>1641</v>
      </c>
      <c r="C21">
        <v>23</v>
      </c>
    </row>
    <row r="22" spans="1:3" x14ac:dyDescent="0.2">
      <c r="A22" t="s">
        <v>26</v>
      </c>
      <c r="B22">
        <v>3862</v>
      </c>
      <c r="C22">
        <v>109</v>
      </c>
    </row>
    <row r="23" spans="1:3" x14ac:dyDescent="0.2">
      <c r="A23" t="s">
        <v>27</v>
      </c>
      <c r="B23">
        <v>1270</v>
      </c>
      <c r="C23">
        <v>25</v>
      </c>
    </row>
    <row r="24" spans="1:3" x14ac:dyDescent="0.2">
      <c r="A24" t="s">
        <v>28</v>
      </c>
      <c r="B24">
        <v>1157</v>
      </c>
      <c r="C24">
        <v>15</v>
      </c>
    </row>
    <row r="25" spans="1:3" x14ac:dyDescent="0.2">
      <c r="A25" t="s">
        <v>29</v>
      </c>
      <c r="B25">
        <v>1291</v>
      </c>
      <c r="C25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8"/>
  <sheetViews>
    <sheetView topLeftCell="A2" workbookViewId="0">
      <selection activeCell="N8" sqref="N8"/>
    </sheetView>
  </sheetViews>
  <sheetFormatPr baseColWidth="10" defaultColWidth="8.83203125" defaultRowHeight="15" x14ac:dyDescent="0.2"/>
  <cols>
    <col min="1" max="1" width="61.83203125" bestFit="1" customWidth="1"/>
    <col min="2" max="2" width="16.1640625" bestFit="1" customWidth="1"/>
    <col min="3" max="3" width="12.83203125" bestFit="1" customWidth="1"/>
    <col min="5" max="5" width="61.83203125" bestFit="1" customWidth="1"/>
    <col min="6" max="6" width="16.1640625" bestFit="1" customWidth="1"/>
    <col min="7" max="7" width="11.6640625" bestFit="1" customWidth="1"/>
  </cols>
  <sheetData>
    <row r="1" spans="1:10" x14ac:dyDescent="0.2">
      <c r="A1" s="5" t="s">
        <v>30</v>
      </c>
    </row>
    <row r="3" spans="1:10" x14ac:dyDescent="0.2">
      <c r="A3" s="66" t="s">
        <v>31</v>
      </c>
      <c r="B3" s="66" t="s">
        <v>32</v>
      </c>
      <c r="C3" s="66" t="s">
        <v>2</v>
      </c>
      <c r="E3" s="6" t="s">
        <v>31</v>
      </c>
      <c r="F3" s="7" t="s">
        <v>32</v>
      </c>
      <c r="G3" s="8" t="s">
        <v>2</v>
      </c>
    </row>
    <row r="4" spans="1:10" x14ac:dyDescent="0.2">
      <c r="A4" s="67" t="s">
        <v>60</v>
      </c>
      <c r="B4" s="68" t="s">
        <v>61</v>
      </c>
      <c r="C4" s="68">
        <v>5572</v>
      </c>
      <c r="D4">
        <f>SUMIF(E:E, A4, G:G)</f>
        <v>10</v>
      </c>
      <c r="E4" s="9" t="s">
        <v>33</v>
      </c>
      <c r="F4" t="s">
        <v>17</v>
      </c>
      <c r="G4">
        <v>12953</v>
      </c>
      <c r="H4">
        <f>C4+D4</f>
        <v>5582</v>
      </c>
      <c r="I4">
        <f>IF(COUNTIF(A:A, E4) &gt; 0, 1, 0)</f>
        <v>0</v>
      </c>
      <c r="J4">
        <f>C4+D4</f>
        <v>5582</v>
      </c>
    </row>
    <row r="5" spans="1:10" x14ac:dyDescent="0.2">
      <c r="A5" s="67" t="s">
        <v>160</v>
      </c>
      <c r="B5" s="68" t="s">
        <v>161</v>
      </c>
      <c r="C5" s="68">
        <v>4060</v>
      </c>
      <c r="D5">
        <f t="shared" ref="D5:D68" si="0">SUMIF(E:E, A5, G:G)</f>
        <v>0</v>
      </c>
      <c r="E5" s="10" t="s">
        <v>34</v>
      </c>
      <c r="F5" t="s">
        <v>12</v>
      </c>
      <c r="G5">
        <v>8411</v>
      </c>
      <c r="H5">
        <f t="shared" ref="H5:H68" si="1">C5+D5</f>
        <v>4060</v>
      </c>
      <c r="I5">
        <f t="shared" ref="I5:I53" si="2">IF(COUNTIF(A:A, E5) &gt; 0, 1, 0)</f>
        <v>0</v>
      </c>
      <c r="J5">
        <f t="shared" ref="J5:J68" si="3">C5+D5</f>
        <v>4060</v>
      </c>
    </row>
    <row r="6" spans="1:10" x14ac:dyDescent="0.2">
      <c r="A6" s="67" t="s">
        <v>162</v>
      </c>
      <c r="B6" s="68" t="s">
        <v>163</v>
      </c>
      <c r="C6" s="68">
        <v>3038</v>
      </c>
      <c r="D6">
        <f t="shared" si="0"/>
        <v>0</v>
      </c>
      <c r="E6" s="11" t="s">
        <v>35</v>
      </c>
      <c r="F6" t="s">
        <v>18</v>
      </c>
      <c r="G6">
        <v>6204</v>
      </c>
      <c r="H6">
        <f t="shared" si="1"/>
        <v>3038</v>
      </c>
      <c r="I6">
        <f t="shared" si="2"/>
        <v>0</v>
      </c>
      <c r="J6">
        <f t="shared" si="3"/>
        <v>3038</v>
      </c>
    </row>
    <row r="7" spans="1:10" x14ac:dyDescent="0.2">
      <c r="A7" s="67" t="s">
        <v>164</v>
      </c>
      <c r="B7" s="68" t="s">
        <v>165</v>
      </c>
      <c r="C7" s="68">
        <v>2430</v>
      </c>
      <c r="D7">
        <f t="shared" si="0"/>
        <v>0</v>
      </c>
      <c r="E7" s="12" t="s">
        <v>37</v>
      </c>
      <c r="F7" t="s">
        <v>21</v>
      </c>
      <c r="G7">
        <v>4372</v>
      </c>
      <c r="H7">
        <f t="shared" si="1"/>
        <v>2430</v>
      </c>
      <c r="I7">
        <f t="shared" si="2"/>
        <v>0</v>
      </c>
      <c r="J7">
        <f t="shared" si="3"/>
        <v>2430</v>
      </c>
    </row>
    <row r="8" spans="1:10" x14ac:dyDescent="0.2">
      <c r="A8" s="67" t="s">
        <v>166</v>
      </c>
      <c r="B8" s="68" t="s">
        <v>167</v>
      </c>
      <c r="C8" s="68">
        <v>1097</v>
      </c>
      <c r="D8">
        <f t="shared" si="0"/>
        <v>0</v>
      </c>
      <c r="E8" s="13" t="s">
        <v>38</v>
      </c>
      <c r="F8" t="s">
        <v>15</v>
      </c>
      <c r="G8">
        <v>3936</v>
      </c>
      <c r="H8">
        <f t="shared" si="1"/>
        <v>1097</v>
      </c>
      <c r="I8">
        <f t="shared" si="2"/>
        <v>0</v>
      </c>
      <c r="J8">
        <f t="shared" si="3"/>
        <v>1097</v>
      </c>
    </row>
    <row r="9" spans="1:10" x14ac:dyDescent="0.2">
      <c r="A9" s="67" t="s">
        <v>168</v>
      </c>
      <c r="B9" s="68" t="s">
        <v>169</v>
      </c>
      <c r="C9" s="68">
        <v>739</v>
      </c>
      <c r="D9">
        <f t="shared" si="0"/>
        <v>0</v>
      </c>
      <c r="E9" s="14" t="s">
        <v>36</v>
      </c>
      <c r="F9" t="s">
        <v>26</v>
      </c>
      <c r="G9">
        <v>3764</v>
      </c>
      <c r="H9">
        <f t="shared" si="1"/>
        <v>739</v>
      </c>
      <c r="I9">
        <f t="shared" si="2"/>
        <v>0</v>
      </c>
      <c r="J9">
        <f t="shared" si="3"/>
        <v>739</v>
      </c>
    </row>
    <row r="10" spans="1:10" x14ac:dyDescent="0.2">
      <c r="A10" s="67" t="s">
        <v>170</v>
      </c>
      <c r="B10" s="68" t="s">
        <v>171</v>
      </c>
      <c r="C10" s="68">
        <v>864</v>
      </c>
      <c r="D10">
        <f t="shared" si="0"/>
        <v>0</v>
      </c>
      <c r="E10" s="15" t="s">
        <v>41</v>
      </c>
      <c r="F10" t="s">
        <v>19</v>
      </c>
      <c r="G10">
        <v>3451</v>
      </c>
      <c r="H10">
        <f t="shared" si="1"/>
        <v>864</v>
      </c>
      <c r="I10">
        <f t="shared" si="2"/>
        <v>0</v>
      </c>
      <c r="J10">
        <f t="shared" si="3"/>
        <v>864</v>
      </c>
    </row>
    <row r="11" spans="1:10" x14ac:dyDescent="0.2">
      <c r="A11" s="67" t="s">
        <v>172</v>
      </c>
      <c r="B11" s="68" t="s">
        <v>173</v>
      </c>
      <c r="C11" s="68">
        <v>749</v>
      </c>
      <c r="D11">
        <f t="shared" si="0"/>
        <v>0</v>
      </c>
      <c r="E11" s="16" t="s">
        <v>40</v>
      </c>
      <c r="F11" t="s">
        <v>23</v>
      </c>
      <c r="G11">
        <v>3018</v>
      </c>
      <c r="H11">
        <f t="shared" si="1"/>
        <v>749</v>
      </c>
      <c r="I11">
        <f t="shared" si="2"/>
        <v>0</v>
      </c>
      <c r="J11">
        <f t="shared" si="3"/>
        <v>749</v>
      </c>
    </row>
    <row r="12" spans="1:10" x14ac:dyDescent="0.2">
      <c r="A12" s="67" t="s">
        <v>174</v>
      </c>
      <c r="B12" s="68" t="s">
        <v>167</v>
      </c>
      <c r="C12" s="68">
        <v>251</v>
      </c>
      <c r="D12">
        <f t="shared" si="0"/>
        <v>0</v>
      </c>
      <c r="E12" s="17" t="s">
        <v>39</v>
      </c>
      <c r="F12" t="s">
        <v>22</v>
      </c>
      <c r="G12">
        <v>2729</v>
      </c>
      <c r="H12">
        <f t="shared" si="1"/>
        <v>251</v>
      </c>
      <c r="I12">
        <f t="shared" si="2"/>
        <v>0</v>
      </c>
      <c r="J12">
        <f t="shared" si="3"/>
        <v>251</v>
      </c>
    </row>
    <row r="13" spans="1:10" x14ac:dyDescent="0.2">
      <c r="A13" s="67" t="s">
        <v>175</v>
      </c>
      <c r="B13" s="68" t="s">
        <v>176</v>
      </c>
      <c r="C13" s="68">
        <v>190</v>
      </c>
      <c r="D13">
        <f t="shared" si="0"/>
        <v>0</v>
      </c>
      <c r="E13" s="18" t="s">
        <v>42</v>
      </c>
      <c r="F13" t="s">
        <v>16</v>
      </c>
      <c r="G13">
        <v>2685</v>
      </c>
      <c r="H13">
        <f t="shared" si="1"/>
        <v>190</v>
      </c>
      <c r="I13">
        <f t="shared" si="2"/>
        <v>0</v>
      </c>
      <c r="J13">
        <f t="shared" si="3"/>
        <v>190</v>
      </c>
    </row>
    <row r="14" spans="1:10" x14ac:dyDescent="0.2">
      <c r="A14" s="67" t="s">
        <v>177</v>
      </c>
      <c r="B14" s="68" t="s">
        <v>176</v>
      </c>
      <c r="C14" s="68">
        <v>170</v>
      </c>
      <c r="D14">
        <f t="shared" si="0"/>
        <v>0</v>
      </c>
      <c r="E14" s="19" t="s">
        <v>43</v>
      </c>
      <c r="F14" t="s">
        <v>8</v>
      </c>
      <c r="G14">
        <v>2567</v>
      </c>
      <c r="H14">
        <f t="shared" si="1"/>
        <v>170</v>
      </c>
      <c r="I14">
        <f t="shared" si="2"/>
        <v>0</v>
      </c>
      <c r="J14">
        <f t="shared" si="3"/>
        <v>170</v>
      </c>
    </row>
    <row r="15" spans="1:10" x14ac:dyDescent="0.2">
      <c r="A15" s="67" t="s">
        <v>178</v>
      </c>
      <c r="B15" s="68" t="s">
        <v>176</v>
      </c>
      <c r="C15" s="68">
        <v>72</v>
      </c>
      <c r="D15">
        <f t="shared" si="0"/>
        <v>0</v>
      </c>
      <c r="E15" s="20" t="s">
        <v>44</v>
      </c>
      <c r="F15" t="s">
        <v>45</v>
      </c>
      <c r="G15">
        <v>1798</v>
      </c>
      <c r="H15">
        <f t="shared" si="1"/>
        <v>72</v>
      </c>
      <c r="I15">
        <f t="shared" si="2"/>
        <v>1</v>
      </c>
      <c r="J15">
        <f t="shared" si="3"/>
        <v>72</v>
      </c>
    </row>
    <row r="16" spans="1:10" x14ac:dyDescent="0.2">
      <c r="A16" s="67" t="s">
        <v>179</v>
      </c>
      <c r="B16" s="68" t="s">
        <v>180</v>
      </c>
      <c r="C16" s="68">
        <v>457</v>
      </c>
      <c r="D16">
        <f t="shared" si="0"/>
        <v>0</v>
      </c>
      <c r="E16" s="21" t="s">
        <v>46</v>
      </c>
      <c r="F16" t="s">
        <v>29</v>
      </c>
      <c r="G16">
        <v>734</v>
      </c>
      <c r="H16">
        <f t="shared" si="1"/>
        <v>457</v>
      </c>
      <c r="I16">
        <f t="shared" si="2"/>
        <v>0</v>
      </c>
      <c r="J16">
        <f t="shared" si="3"/>
        <v>457</v>
      </c>
    </row>
    <row r="17" spans="1:10" x14ac:dyDescent="0.2">
      <c r="A17" s="67" t="s">
        <v>181</v>
      </c>
      <c r="B17" s="68" t="s">
        <v>182</v>
      </c>
      <c r="C17" s="68">
        <v>74</v>
      </c>
      <c r="D17">
        <f t="shared" si="0"/>
        <v>0</v>
      </c>
      <c r="E17" s="22" t="s">
        <v>47</v>
      </c>
      <c r="F17" t="s">
        <v>48</v>
      </c>
      <c r="G17">
        <v>728</v>
      </c>
      <c r="H17">
        <f t="shared" si="1"/>
        <v>74</v>
      </c>
      <c r="I17">
        <f t="shared" si="2"/>
        <v>1</v>
      </c>
      <c r="J17">
        <f t="shared" si="3"/>
        <v>74</v>
      </c>
    </row>
    <row r="18" spans="1:10" x14ac:dyDescent="0.2">
      <c r="A18" s="67" t="s">
        <v>183</v>
      </c>
      <c r="B18" s="68" t="s">
        <v>184</v>
      </c>
      <c r="C18" s="68">
        <v>39</v>
      </c>
      <c r="D18">
        <f t="shared" si="0"/>
        <v>0</v>
      </c>
      <c r="E18" s="23" t="s">
        <v>50</v>
      </c>
      <c r="F18" t="s">
        <v>51</v>
      </c>
      <c r="G18">
        <v>483</v>
      </c>
      <c r="H18">
        <f t="shared" si="1"/>
        <v>39</v>
      </c>
      <c r="I18">
        <f t="shared" si="2"/>
        <v>1</v>
      </c>
      <c r="J18">
        <f t="shared" si="3"/>
        <v>39</v>
      </c>
    </row>
    <row r="19" spans="1:10" x14ac:dyDescent="0.2">
      <c r="A19" s="67" t="s">
        <v>185</v>
      </c>
      <c r="B19" s="68" t="s">
        <v>186</v>
      </c>
      <c r="C19" s="68">
        <v>36</v>
      </c>
      <c r="D19">
        <f t="shared" si="0"/>
        <v>0</v>
      </c>
      <c r="E19" s="24" t="s">
        <v>52</v>
      </c>
      <c r="F19" t="s">
        <v>53</v>
      </c>
      <c r="G19">
        <v>329</v>
      </c>
      <c r="H19">
        <f t="shared" si="1"/>
        <v>36</v>
      </c>
      <c r="I19">
        <f t="shared" si="2"/>
        <v>1</v>
      </c>
      <c r="J19">
        <f t="shared" si="3"/>
        <v>36</v>
      </c>
    </row>
    <row r="20" spans="1:10" x14ac:dyDescent="0.2">
      <c r="A20" s="67" t="s">
        <v>187</v>
      </c>
      <c r="B20" s="68" t="s">
        <v>188</v>
      </c>
      <c r="C20" s="68">
        <v>9</v>
      </c>
      <c r="D20">
        <f t="shared" si="0"/>
        <v>0</v>
      </c>
      <c r="E20" s="25" t="s">
        <v>49</v>
      </c>
      <c r="F20" t="s">
        <v>25</v>
      </c>
      <c r="G20">
        <v>143</v>
      </c>
      <c r="H20">
        <f t="shared" si="1"/>
        <v>9</v>
      </c>
      <c r="I20">
        <f t="shared" si="2"/>
        <v>0</v>
      </c>
      <c r="J20">
        <f t="shared" si="3"/>
        <v>9</v>
      </c>
    </row>
    <row r="21" spans="1:10" x14ac:dyDescent="0.2">
      <c r="A21" s="67" t="s">
        <v>189</v>
      </c>
      <c r="B21" s="68" t="s">
        <v>190</v>
      </c>
      <c r="C21" s="68">
        <v>21</v>
      </c>
      <c r="D21">
        <f t="shared" si="0"/>
        <v>0</v>
      </c>
      <c r="E21" s="26" t="s">
        <v>56</v>
      </c>
      <c r="F21" t="s">
        <v>57</v>
      </c>
      <c r="G21">
        <v>47</v>
      </c>
      <c r="H21">
        <f t="shared" si="1"/>
        <v>21</v>
      </c>
      <c r="I21">
        <f t="shared" si="2"/>
        <v>1</v>
      </c>
      <c r="J21">
        <f t="shared" si="3"/>
        <v>21</v>
      </c>
    </row>
    <row r="22" spans="1:10" x14ac:dyDescent="0.2">
      <c r="A22" s="67" t="s">
        <v>191</v>
      </c>
      <c r="B22" s="68" t="s">
        <v>192</v>
      </c>
      <c r="C22" s="68">
        <v>9</v>
      </c>
      <c r="D22">
        <f t="shared" si="0"/>
        <v>0</v>
      </c>
      <c r="E22" s="27" t="s">
        <v>58</v>
      </c>
      <c r="F22" t="s">
        <v>59</v>
      </c>
      <c r="G22">
        <v>44</v>
      </c>
      <c r="H22">
        <f t="shared" si="1"/>
        <v>9</v>
      </c>
      <c r="I22">
        <f t="shared" si="2"/>
        <v>1</v>
      </c>
      <c r="J22">
        <f t="shared" si="3"/>
        <v>9</v>
      </c>
    </row>
    <row r="23" spans="1:10" x14ac:dyDescent="0.2">
      <c r="A23" s="67" t="s">
        <v>193</v>
      </c>
      <c r="B23" s="68" t="s">
        <v>194</v>
      </c>
      <c r="C23" s="68">
        <v>6</v>
      </c>
      <c r="D23">
        <f t="shared" si="0"/>
        <v>0</v>
      </c>
      <c r="E23" s="28" t="s">
        <v>62</v>
      </c>
      <c r="F23" t="s">
        <v>59</v>
      </c>
      <c r="G23">
        <v>39</v>
      </c>
      <c r="H23">
        <f t="shared" si="1"/>
        <v>6</v>
      </c>
      <c r="I23">
        <f t="shared" si="2"/>
        <v>1</v>
      </c>
      <c r="J23">
        <f t="shared" si="3"/>
        <v>6</v>
      </c>
    </row>
    <row r="24" spans="1:10" x14ac:dyDescent="0.2">
      <c r="A24" s="67" t="s">
        <v>195</v>
      </c>
      <c r="B24" s="68" t="s">
        <v>196</v>
      </c>
      <c r="C24" s="68">
        <v>4</v>
      </c>
      <c r="D24">
        <f t="shared" si="0"/>
        <v>0</v>
      </c>
      <c r="E24" s="29" t="s">
        <v>54</v>
      </c>
      <c r="F24" t="s">
        <v>55</v>
      </c>
      <c r="G24">
        <v>37</v>
      </c>
      <c r="H24">
        <f t="shared" si="1"/>
        <v>4</v>
      </c>
      <c r="I24">
        <f t="shared" si="2"/>
        <v>1</v>
      </c>
      <c r="J24">
        <f t="shared" si="3"/>
        <v>4</v>
      </c>
    </row>
    <row r="25" spans="1:10" x14ac:dyDescent="0.2">
      <c r="A25" s="67" t="s">
        <v>197</v>
      </c>
      <c r="B25" s="68" t="s">
        <v>198</v>
      </c>
      <c r="C25" s="68">
        <v>2</v>
      </c>
      <c r="D25">
        <f t="shared" si="0"/>
        <v>0</v>
      </c>
      <c r="E25" s="30" t="s">
        <v>63</v>
      </c>
      <c r="F25" t="s">
        <v>64</v>
      </c>
      <c r="G25">
        <v>35</v>
      </c>
      <c r="H25">
        <f t="shared" si="1"/>
        <v>2</v>
      </c>
      <c r="I25">
        <f t="shared" si="2"/>
        <v>1</v>
      </c>
      <c r="J25">
        <f t="shared" si="3"/>
        <v>2</v>
      </c>
    </row>
    <row r="26" spans="1:10" x14ac:dyDescent="0.2">
      <c r="A26" s="67" t="s">
        <v>199</v>
      </c>
      <c r="B26" s="68" t="s">
        <v>200</v>
      </c>
      <c r="C26" s="68">
        <v>4</v>
      </c>
      <c r="D26">
        <f t="shared" si="0"/>
        <v>0</v>
      </c>
      <c r="E26" s="31" t="s">
        <v>65</v>
      </c>
      <c r="F26" t="s">
        <v>66</v>
      </c>
      <c r="G26">
        <v>29</v>
      </c>
      <c r="H26">
        <f t="shared" si="1"/>
        <v>4</v>
      </c>
      <c r="I26">
        <f t="shared" si="2"/>
        <v>1</v>
      </c>
      <c r="J26">
        <f t="shared" si="3"/>
        <v>4</v>
      </c>
    </row>
    <row r="27" spans="1:10" x14ac:dyDescent="0.2">
      <c r="A27" s="67" t="s">
        <v>201</v>
      </c>
      <c r="B27" s="68" t="s">
        <v>202</v>
      </c>
      <c r="C27" s="68">
        <v>13</v>
      </c>
      <c r="D27">
        <f t="shared" si="0"/>
        <v>0</v>
      </c>
      <c r="E27" s="32" t="s">
        <v>67</v>
      </c>
      <c r="F27" t="s">
        <v>68</v>
      </c>
      <c r="G27">
        <v>29</v>
      </c>
      <c r="H27">
        <f t="shared" si="1"/>
        <v>13</v>
      </c>
      <c r="I27">
        <f t="shared" si="2"/>
        <v>1</v>
      </c>
      <c r="J27">
        <f t="shared" si="3"/>
        <v>13</v>
      </c>
    </row>
    <row r="28" spans="1:10" x14ac:dyDescent="0.2">
      <c r="A28" s="67" t="s">
        <v>203</v>
      </c>
      <c r="B28" s="68" t="s">
        <v>204</v>
      </c>
      <c r="C28" s="68">
        <v>3</v>
      </c>
      <c r="D28">
        <f t="shared" si="0"/>
        <v>0</v>
      </c>
      <c r="E28" s="33" t="s">
        <v>69</v>
      </c>
      <c r="F28" t="s">
        <v>70</v>
      </c>
      <c r="G28">
        <v>25</v>
      </c>
      <c r="H28">
        <f t="shared" si="1"/>
        <v>3</v>
      </c>
      <c r="I28">
        <f t="shared" si="2"/>
        <v>1</v>
      </c>
      <c r="J28">
        <f t="shared" si="3"/>
        <v>3</v>
      </c>
    </row>
    <row r="29" spans="1:10" x14ac:dyDescent="0.2">
      <c r="A29" s="67" t="s">
        <v>205</v>
      </c>
      <c r="B29" s="68" t="s">
        <v>206</v>
      </c>
      <c r="C29" s="68">
        <v>2</v>
      </c>
      <c r="D29">
        <f t="shared" si="0"/>
        <v>0</v>
      </c>
      <c r="E29" s="34" t="s">
        <v>71</v>
      </c>
      <c r="F29" t="s">
        <v>72</v>
      </c>
      <c r="G29">
        <v>24</v>
      </c>
      <c r="H29">
        <f t="shared" si="1"/>
        <v>2</v>
      </c>
      <c r="I29">
        <f t="shared" si="2"/>
        <v>1</v>
      </c>
      <c r="J29">
        <f t="shared" si="3"/>
        <v>2</v>
      </c>
    </row>
    <row r="30" spans="1:10" x14ac:dyDescent="0.2">
      <c r="A30" s="67" t="s">
        <v>207</v>
      </c>
      <c r="B30" s="68" t="s">
        <v>202</v>
      </c>
      <c r="C30" s="68">
        <v>7</v>
      </c>
      <c r="D30">
        <f t="shared" si="0"/>
        <v>0</v>
      </c>
      <c r="E30" s="35" t="s">
        <v>73</v>
      </c>
      <c r="F30" t="s">
        <v>74</v>
      </c>
      <c r="G30">
        <v>22</v>
      </c>
      <c r="H30">
        <f t="shared" si="1"/>
        <v>7</v>
      </c>
      <c r="I30">
        <f t="shared" si="2"/>
        <v>1</v>
      </c>
      <c r="J30">
        <f t="shared" si="3"/>
        <v>7</v>
      </c>
    </row>
    <row r="31" spans="1:10" x14ac:dyDescent="0.2">
      <c r="A31" s="67" t="s">
        <v>208</v>
      </c>
      <c r="B31" s="68" t="s">
        <v>209</v>
      </c>
      <c r="C31" s="68">
        <v>3</v>
      </c>
      <c r="D31">
        <f t="shared" si="0"/>
        <v>0</v>
      </c>
      <c r="E31" s="36" t="s">
        <v>75</v>
      </c>
      <c r="F31" t="s">
        <v>76</v>
      </c>
      <c r="G31">
        <v>19</v>
      </c>
      <c r="H31">
        <f t="shared" si="1"/>
        <v>3</v>
      </c>
      <c r="I31">
        <f t="shared" si="2"/>
        <v>1</v>
      </c>
      <c r="J31">
        <f t="shared" si="3"/>
        <v>3</v>
      </c>
    </row>
    <row r="32" spans="1:10" x14ac:dyDescent="0.2">
      <c r="A32" s="67" t="s">
        <v>210</v>
      </c>
      <c r="B32" s="68" t="s">
        <v>211</v>
      </c>
      <c r="C32" s="68">
        <v>2</v>
      </c>
      <c r="D32">
        <f t="shared" si="0"/>
        <v>0</v>
      </c>
      <c r="E32" s="37" t="s">
        <v>77</v>
      </c>
      <c r="F32" t="s">
        <v>78</v>
      </c>
      <c r="G32">
        <v>19</v>
      </c>
      <c r="H32">
        <f t="shared" si="1"/>
        <v>2</v>
      </c>
      <c r="I32">
        <f t="shared" si="2"/>
        <v>1</v>
      </c>
      <c r="J32">
        <f t="shared" si="3"/>
        <v>2</v>
      </c>
    </row>
    <row r="33" spans="1:10" x14ac:dyDescent="0.2">
      <c r="A33" s="67" t="s">
        <v>212</v>
      </c>
      <c r="B33" s="68" t="s">
        <v>213</v>
      </c>
      <c r="C33" s="68">
        <v>2</v>
      </c>
      <c r="D33">
        <f t="shared" si="0"/>
        <v>0</v>
      </c>
      <c r="E33" s="38" t="s">
        <v>79</v>
      </c>
      <c r="F33" t="s">
        <v>80</v>
      </c>
      <c r="G33">
        <v>17</v>
      </c>
      <c r="H33">
        <f t="shared" si="1"/>
        <v>2</v>
      </c>
      <c r="I33">
        <f t="shared" si="2"/>
        <v>1</v>
      </c>
      <c r="J33">
        <f t="shared" si="3"/>
        <v>2</v>
      </c>
    </row>
    <row r="34" spans="1:10" x14ac:dyDescent="0.2">
      <c r="A34" s="67" t="s">
        <v>214</v>
      </c>
      <c r="B34" s="68" t="s">
        <v>215</v>
      </c>
      <c r="C34" s="68">
        <v>5</v>
      </c>
      <c r="D34">
        <f t="shared" si="0"/>
        <v>0</v>
      </c>
      <c r="E34" s="39" t="s">
        <v>81</v>
      </c>
      <c r="F34" t="s">
        <v>82</v>
      </c>
      <c r="G34">
        <v>15</v>
      </c>
      <c r="H34">
        <f t="shared" si="1"/>
        <v>5</v>
      </c>
      <c r="I34">
        <f t="shared" si="2"/>
        <v>1</v>
      </c>
      <c r="J34">
        <f t="shared" si="3"/>
        <v>5</v>
      </c>
    </row>
    <row r="35" spans="1:10" x14ac:dyDescent="0.2">
      <c r="A35" s="67" t="s">
        <v>216</v>
      </c>
      <c r="B35" s="68" t="s">
        <v>217</v>
      </c>
      <c r="C35" s="68">
        <v>35</v>
      </c>
      <c r="D35">
        <f t="shared" si="0"/>
        <v>0</v>
      </c>
      <c r="E35" s="40" t="s">
        <v>83</v>
      </c>
      <c r="F35" t="s">
        <v>84</v>
      </c>
      <c r="G35">
        <v>12</v>
      </c>
      <c r="H35">
        <f t="shared" si="1"/>
        <v>35</v>
      </c>
      <c r="I35">
        <f t="shared" si="2"/>
        <v>1</v>
      </c>
      <c r="J35">
        <f t="shared" si="3"/>
        <v>35</v>
      </c>
    </row>
    <row r="36" spans="1:10" x14ac:dyDescent="0.2">
      <c r="A36" s="67" t="s">
        <v>218</v>
      </c>
      <c r="B36" s="68" t="s">
        <v>219</v>
      </c>
      <c r="C36" s="68">
        <v>2</v>
      </c>
      <c r="D36">
        <f t="shared" si="0"/>
        <v>0</v>
      </c>
      <c r="E36" s="41" t="s">
        <v>85</v>
      </c>
      <c r="F36" t="s">
        <v>86</v>
      </c>
      <c r="G36">
        <v>12</v>
      </c>
      <c r="H36">
        <f t="shared" si="1"/>
        <v>2</v>
      </c>
      <c r="I36">
        <f t="shared" si="2"/>
        <v>1</v>
      </c>
      <c r="J36">
        <f t="shared" si="3"/>
        <v>2</v>
      </c>
    </row>
    <row r="37" spans="1:10" x14ac:dyDescent="0.2">
      <c r="A37" s="67" t="s">
        <v>220</v>
      </c>
      <c r="B37" s="68" t="s">
        <v>221</v>
      </c>
      <c r="C37" s="68">
        <v>12</v>
      </c>
      <c r="D37">
        <f t="shared" si="0"/>
        <v>0</v>
      </c>
      <c r="E37" s="42" t="s">
        <v>87</v>
      </c>
      <c r="F37" t="s">
        <v>88</v>
      </c>
      <c r="G37">
        <v>12</v>
      </c>
      <c r="H37">
        <f t="shared" si="1"/>
        <v>12</v>
      </c>
      <c r="I37">
        <f t="shared" si="2"/>
        <v>1</v>
      </c>
      <c r="J37">
        <f t="shared" si="3"/>
        <v>12</v>
      </c>
    </row>
    <row r="38" spans="1:10" x14ac:dyDescent="0.2">
      <c r="A38" s="67" t="s">
        <v>222</v>
      </c>
      <c r="B38" s="68" t="s">
        <v>223</v>
      </c>
      <c r="C38" s="68">
        <v>9</v>
      </c>
      <c r="D38">
        <f t="shared" si="0"/>
        <v>0</v>
      </c>
      <c r="E38" s="43" t="s">
        <v>89</v>
      </c>
      <c r="F38" t="s">
        <v>90</v>
      </c>
      <c r="G38">
        <v>11</v>
      </c>
      <c r="H38">
        <f t="shared" si="1"/>
        <v>9</v>
      </c>
      <c r="I38">
        <f t="shared" si="2"/>
        <v>1</v>
      </c>
      <c r="J38">
        <f t="shared" si="3"/>
        <v>9</v>
      </c>
    </row>
    <row r="39" spans="1:10" x14ac:dyDescent="0.2">
      <c r="A39" s="67" t="s">
        <v>224</v>
      </c>
      <c r="B39" s="68" t="s">
        <v>225</v>
      </c>
      <c r="C39" s="68">
        <v>1</v>
      </c>
      <c r="D39">
        <f t="shared" si="0"/>
        <v>0</v>
      </c>
      <c r="E39" s="44" t="s">
        <v>60</v>
      </c>
      <c r="F39" t="s">
        <v>61</v>
      </c>
      <c r="G39">
        <v>10</v>
      </c>
      <c r="H39">
        <f t="shared" si="1"/>
        <v>1</v>
      </c>
      <c r="I39">
        <f t="shared" si="2"/>
        <v>1</v>
      </c>
      <c r="J39">
        <f t="shared" si="3"/>
        <v>1</v>
      </c>
    </row>
    <row r="40" spans="1:10" x14ac:dyDescent="0.2">
      <c r="A40" s="67" t="s">
        <v>226</v>
      </c>
      <c r="B40" s="68" t="s">
        <v>227</v>
      </c>
      <c r="C40" s="68">
        <v>1</v>
      </c>
      <c r="D40">
        <f t="shared" si="0"/>
        <v>0</v>
      </c>
      <c r="E40" s="45" t="s">
        <v>91</v>
      </c>
      <c r="F40" t="s">
        <v>92</v>
      </c>
      <c r="G40">
        <v>9</v>
      </c>
      <c r="H40">
        <f t="shared" si="1"/>
        <v>1</v>
      </c>
      <c r="I40">
        <f t="shared" si="2"/>
        <v>1</v>
      </c>
      <c r="J40">
        <f t="shared" si="3"/>
        <v>1</v>
      </c>
    </row>
    <row r="41" spans="1:10" x14ac:dyDescent="0.2">
      <c r="A41" s="67" t="s">
        <v>228</v>
      </c>
      <c r="B41" s="68" t="s">
        <v>229</v>
      </c>
      <c r="C41" s="68">
        <v>1</v>
      </c>
      <c r="D41">
        <f t="shared" si="0"/>
        <v>0</v>
      </c>
      <c r="E41" s="46" t="s">
        <v>93</v>
      </c>
      <c r="F41" t="s">
        <v>94</v>
      </c>
      <c r="G41">
        <v>9</v>
      </c>
      <c r="H41">
        <f t="shared" si="1"/>
        <v>1</v>
      </c>
      <c r="I41">
        <f t="shared" si="2"/>
        <v>1</v>
      </c>
      <c r="J41">
        <f t="shared" si="3"/>
        <v>1</v>
      </c>
    </row>
    <row r="42" spans="1:10" x14ac:dyDescent="0.2">
      <c r="A42" s="67" t="s">
        <v>230</v>
      </c>
      <c r="B42" s="68" t="s">
        <v>231</v>
      </c>
      <c r="C42" s="68">
        <v>1633</v>
      </c>
      <c r="D42">
        <f t="shared" si="0"/>
        <v>0</v>
      </c>
      <c r="E42" s="47" t="s">
        <v>95</v>
      </c>
      <c r="F42" t="s">
        <v>96</v>
      </c>
      <c r="G42">
        <v>8</v>
      </c>
      <c r="H42">
        <f t="shared" si="1"/>
        <v>1633</v>
      </c>
      <c r="I42">
        <f t="shared" si="2"/>
        <v>1</v>
      </c>
      <c r="J42">
        <f t="shared" si="3"/>
        <v>1633</v>
      </c>
    </row>
    <row r="43" spans="1:10" x14ac:dyDescent="0.2">
      <c r="A43" s="67" t="s">
        <v>232</v>
      </c>
      <c r="B43" s="68" t="s">
        <v>233</v>
      </c>
      <c r="C43" s="68">
        <v>1082</v>
      </c>
      <c r="D43">
        <f t="shared" si="0"/>
        <v>0</v>
      </c>
      <c r="E43" s="48" t="s">
        <v>97</v>
      </c>
      <c r="F43" t="s">
        <v>98</v>
      </c>
      <c r="G43">
        <v>8</v>
      </c>
      <c r="H43">
        <f t="shared" si="1"/>
        <v>1082</v>
      </c>
      <c r="I43">
        <f t="shared" si="2"/>
        <v>1</v>
      </c>
      <c r="J43">
        <f t="shared" si="3"/>
        <v>1082</v>
      </c>
    </row>
    <row r="44" spans="1:10" x14ac:dyDescent="0.2">
      <c r="A44" s="67" t="s">
        <v>234</v>
      </c>
      <c r="B44" s="68" t="s">
        <v>235</v>
      </c>
      <c r="C44" s="68">
        <v>10</v>
      </c>
      <c r="D44">
        <f t="shared" si="0"/>
        <v>0</v>
      </c>
      <c r="E44" s="49" t="s">
        <v>99</v>
      </c>
      <c r="F44" t="s">
        <v>100</v>
      </c>
      <c r="G44">
        <v>8</v>
      </c>
      <c r="H44">
        <f t="shared" si="1"/>
        <v>10</v>
      </c>
      <c r="I44">
        <f t="shared" si="2"/>
        <v>1</v>
      </c>
      <c r="J44">
        <f t="shared" si="3"/>
        <v>10</v>
      </c>
    </row>
    <row r="45" spans="1:10" x14ac:dyDescent="0.2">
      <c r="A45" s="67" t="s">
        <v>236</v>
      </c>
      <c r="B45" s="68" t="s">
        <v>237</v>
      </c>
      <c r="C45" s="68">
        <v>2</v>
      </c>
      <c r="D45">
        <f t="shared" si="0"/>
        <v>0</v>
      </c>
      <c r="E45" s="50" t="s">
        <v>101</v>
      </c>
      <c r="F45" t="s">
        <v>102</v>
      </c>
      <c r="G45">
        <v>8</v>
      </c>
      <c r="H45">
        <f t="shared" si="1"/>
        <v>2</v>
      </c>
      <c r="I45">
        <f t="shared" si="2"/>
        <v>1</v>
      </c>
      <c r="J45">
        <f t="shared" si="3"/>
        <v>2</v>
      </c>
    </row>
    <row r="46" spans="1:10" x14ac:dyDescent="0.2">
      <c r="A46" s="67" t="s">
        <v>238</v>
      </c>
      <c r="B46" s="68" t="s">
        <v>239</v>
      </c>
      <c r="C46" s="68">
        <v>15</v>
      </c>
      <c r="D46">
        <f t="shared" si="0"/>
        <v>0</v>
      </c>
      <c r="E46" s="51" t="s">
        <v>103</v>
      </c>
      <c r="F46" t="s">
        <v>104</v>
      </c>
      <c r="G46">
        <v>7</v>
      </c>
      <c r="H46">
        <f t="shared" si="1"/>
        <v>15</v>
      </c>
      <c r="I46">
        <f t="shared" si="2"/>
        <v>1</v>
      </c>
      <c r="J46">
        <f t="shared" si="3"/>
        <v>15</v>
      </c>
    </row>
    <row r="47" spans="1:10" x14ac:dyDescent="0.2">
      <c r="A47" s="67" t="s">
        <v>240</v>
      </c>
      <c r="B47" s="68" t="s">
        <v>241</v>
      </c>
      <c r="C47" s="68">
        <v>12</v>
      </c>
      <c r="D47">
        <f t="shared" si="0"/>
        <v>0</v>
      </c>
      <c r="E47" s="52" t="s">
        <v>105</v>
      </c>
      <c r="F47" t="s">
        <v>106</v>
      </c>
      <c r="G47">
        <v>7</v>
      </c>
      <c r="H47">
        <f t="shared" si="1"/>
        <v>12</v>
      </c>
      <c r="I47">
        <f t="shared" si="2"/>
        <v>1</v>
      </c>
      <c r="J47">
        <f t="shared" si="3"/>
        <v>12</v>
      </c>
    </row>
    <row r="48" spans="1:10" x14ac:dyDescent="0.2">
      <c r="A48" s="67" t="s">
        <v>242</v>
      </c>
      <c r="B48" s="68" t="s">
        <v>243</v>
      </c>
      <c r="C48" s="68">
        <v>2</v>
      </c>
      <c r="D48">
        <f t="shared" si="0"/>
        <v>0</v>
      </c>
      <c r="E48" s="53" t="s">
        <v>107</v>
      </c>
      <c r="F48" t="s">
        <v>108</v>
      </c>
      <c r="G48">
        <v>7</v>
      </c>
      <c r="H48">
        <f t="shared" si="1"/>
        <v>2</v>
      </c>
      <c r="I48">
        <f t="shared" si="2"/>
        <v>1</v>
      </c>
      <c r="J48">
        <f t="shared" si="3"/>
        <v>2</v>
      </c>
    </row>
    <row r="49" spans="1:10" x14ac:dyDescent="0.2">
      <c r="A49" s="67" t="s">
        <v>244</v>
      </c>
      <c r="B49" s="68" t="s">
        <v>245</v>
      </c>
      <c r="C49" s="68">
        <v>8</v>
      </c>
      <c r="D49">
        <f t="shared" si="0"/>
        <v>0</v>
      </c>
      <c r="E49" s="54" t="s">
        <v>109</v>
      </c>
      <c r="F49" t="s">
        <v>110</v>
      </c>
      <c r="G49">
        <v>7</v>
      </c>
      <c r="H49">
        <f t="shared" si="1"/>
        <v>8</v>
      </c>
      <c r="I49">
        <f t="shared" si="2"/>
        <v>1</v>
      </c>
      <c r="J49">
        <f t="shared" si="3"/>
        <v>8</v>
      </c>
    </row>
    <row r="50" spans="1:10" x14ac:dyDescent="0.2">
      <c r="A50" s="67" t="s">
        <v>246</v>
      </c>
      <c r="B50" s="68" t="s">
        <v>247</v>
      </c>
      <c r="C50" s="68">
        <v>8</v>
      </c>
      <c r="D50">
        <f t="shared" si="0"/>
        <v>0</v>
      </c>
      <c r="E50" s="55" t="s">
        <v>111</v>
      </c>
      <c r="F50" t="s">
        <v>112</v>
      </c>
      <c r="G50">
        <v>6</v>
      </c>
      <c r="H50">
        <f t="shared" si="1"/>
        <v>8</v>
      </c>
      <c r="I50">
        <f t="shared" si="2"/>
        <v>1</v>
      </c>
      <c r="J50">
        <f t="shared" si="3"/>
        <v>8</v>
      </c>
    </row>
    <row r="51" spans="1:10" x14ac:dyDescent="0.2">
      <c r="A51" s="67" t="s">
        <v>248</v>
      </c>
      <c r="B51" s="68" t="s">
        <v>249</v>
      </c>
      <c r="C51" s="68">
        <v>3</v>
      </c>
      <c r="D51">
        <f t="shared" si="0"/>
        <v>0</v>
      </c>
      <c r="E51" s="56" t="s">
        <v>113</v>
      </c>
      <c r="F51" t="s">
        <v>114</v>
      </c>
      <c r="G51">
        <v>5</v>
      </c>
      <c r="H51">
        <f t="shared" si="1"/>
        <v>3</v>
      </c>
      <c r="I51">
        <f t="shared" si="2"/>
        <v>1</v>
      </c>
      <c r="J51">
        <f t="shared" si="3"/>
        <v>3</v>
      </c>
    </row>
    <row r="52" spans="1:10" x14ac:dyDescent="0.2">
      <c r="A52" s="67" t="s">
        <v>250</v>
      </c>
      <c r="B52" s="68" t="s">
        <v>251</v>
      </c>
      <c r="C52" s="68">
        <v>16</v>
      </c>
      <c r="D52">
        <f t="shared" si="0"/>
        <v>0</v>
      </c>
      <c r="E52" s="57" t="s">
        <v>115</v>
      </c>
      <c r="F52" t="s">
        <v>116</v>
      </c>
      <c r="G52">
        <v>5</v>
      </c>
      <c r="H52">
        <f t="shared" si="1"/>
        <v>16</v>
      </c>
      <c r="I52">
        <f t="shared" si="2"/>
        <v>1</v>
      </c>
      <c r="J52">
        <f t="shared" si="3"/>
        <v>16</v>
      </c>
    </row>
    <row r="53" spans="1:10" x14ac:dyDescent="0.2">
      <c r="A53" s="67" t="s">
        <v>252</v>
      </c>
      <c r="B53" s="68" t="s">
        <v>245</v>
      </c>
      <c r="C53" s="68">
        <v>13</v>
      </c>
      <c r="D53">
        <f t="shared" si="0"/>
        <v>0</v>
      </c>
      <c r="E53" s="58" t="s">
        <v>117</v>
      </c>
      <c r="F53" t="s">
        <v>118</v>
      </c>
      <c r="G53">
        <v>5</v>
      </c>
      <c r="H53">
        <f t="shared" si="1"/>
        <v>13</v>
      </c>
      <c r="I53">
        <f t="shared" si="2"/>
        <v>1</v>
      </c>
      <c r="J53">
        <f t="shared" si="3"/>
        <v>13</v>
      </c>
    </row>
    <row r="54" spans="1:10" x14ac:dyDescent="0.2">
      <c r="A54" s="67" t="s">
        <v>253</v>
      </c>
      <c r="B54" s="68" t="s">
        <v>254</v>
      </c>
      <c r="C54" s="68">
        <v>1</v>
      </c>
      <c r="D54">
        <f t="shared" si="0"/>
        <v>0</v>
      </c>
      <c r="H54">
        <f t="shared" si="1"/>
        <v>1</v>
      </c>
      <c r="J54">
        <f t="shared" si="3"/>
        <v>1</v>
      </c>
    </row>
    <row r="55" spans="1:10" x14ac:dyDescent="0.2">
      <c r="A55" s="67" t="s">
        <v>255</v>
      </c>
      <c r="B55" s="68" t="s">
        <v>256</v>
      </c>
      <c r="C55" s="68">
        <v>1</v>
      </c>
      <c r="D55">
        <f t="shared" si="0"/>
        <v>0</v>
      </c>
      <c r="H55">
        <f t="shared" si="1"/>
        <v>1</v>
      </c>
      <c r="J55">
        <f t="shared" si="3"/>
        <v>1</v>
      </c>
    </row>
    <row r="56" spans="1:10" x14ac:dyDescent="0.2">
      <c r="A56" s="67" t="s">
        <v>257</v>
      </c>
      <c r="B56" s="68" t="s">
        <v>243</v>
      </c>
      <c r="C56" s="68">
        <v>15</v>
      </c>
      <c r="D56">
        <f t="shared" si="0"/>
        <v>0</v>
      </c>
      <c r="H56">
        <f t="shared" si="1"/>
        <v>15</v>
      </c>
      <c r="J56">
        <f t="shared" si="3"/>
        <v>15</v>
      </c>
    </row>
    <row r="57" spans="1:10" x14ac:dyDescent="0.2">
      <c r="A57" s="67" t="s">
        <v>258</v>
      </c>
      <c r="B57" s="68" t="s">
        <v>259</v>
      </c>
      <c r="C57" s="68">
        <v>2</v>
      </c>
      <c r="D57">
        <f t="shared" si="0"/>
        <v>0</v>
      </c>
      <c r="H57">
        <f t="shared" si="1"/>
        <v>2</v>
      </c>
      <c r="J57">
        <f t="shared" si="3"/>
        <v>2</v>
      </c>
    </row>
    <row r="58" spans="1:10" x14ac:dyDescent="0.2">
      <c r="A58" s="67" t="s">
        <v>260</v>
      </c>
      <c r="B58" s="68" t="s">
        <v>261</v>
      </c>
      <c r="C58" s="68">
        <v>1557</v>
      </c>
      <c r="D58">
        <f t="shared" si="0"/>
        <v>0</v>
      </c>
      <c r="H58">
        <f t="shared" si="1"/>
        <v>1557</v>
      </c>
      <c r="J58">
        <f t="shared" si="3"/>
        <v>1557</v>
      </c>
    </row>
    <row r="59" spans="1:10" x14ac:dyDescent="0.2">
      <c r="A59" s="67" t="s">
        <v>262</v>
      </c>
      <c r="B59" s="68" t="s">
        <v>261</v>
      </c>
      <c r="C59" s="68">
        <v>747</v>
      </c>
      <c r="D59">
        <f t="shared" si="0"/>
        <v>0</v>
      </c>
      <c r="H59">
        <f t="shared" si="1"/>
        <v>747</v>
      </c>
      <c r="J59">
        <f t="shared" si="3"/>
        <v>747</v>
      </c>
    </row>
    <row r="60" spans="1:10" x14ac:dyDescent="0.2">
      <c r="A60" s="67" t="s">
        <v>263</v>
      </c>
      <c r="B60" s="68" t="s">
        <v>264</v>
      </c>
      <c r="C60" s="68">
        <v>431</v>
      </c>
      <c r="D60">
        <f t="shared" si="0"/>
        <v>0</v>
      </c>
      <c r="H60">
        <f t="shared" si="1"/>
        <v>431</v>
      </c>
      <c r="J60">
        <f t="shared" si="3"/>
        <v>431</v>
      </c>
    </row>
    <row r="61" spans="1:10" x14ac:dyDescent="0.2">
      <c r="A61" s="67" t="s">
        <v>265</v>
      </c>
      <c r="B61" s="68" t="s">
        <v>266</v>
      </c>
      <c r="C61" s="68">
        <v>14</v>
      </c>
      <c r="D61">
        <f t="shared" si="0"/>
        <v>0</v>
      </c>
      <c r="H61">
        <f t="shared" si="1"/>
        <v>14</v>
      </c>
      <c r="J61">
        <f t="shared" si="3"/>
        <v>14</v>
      </c>
    </row>
    <row r="62" spans="1:10" x14ac:dyDescent="0.2">
      <c r="A62" s="67" t="s">
        <v>267</v>
      </c>
      <c r="B62" s="68" t="s">
        <v>268</v>
      </c>
      <c r="C62" s="68">
        <v>3</v>
      </c>
      <c r="D62">
        <f t="shared" si="0"/>
        <v>0</v>
      </c>
      <c r="H62">
        <f t="shared" si="1"/>
        <v>3</v>
      </c>
      <c r="J62">
        <f t="shared" si="3"/>
        <v>3</v>
      </c>
    </row>
    <row r="63" spans="1:10" x14ac:dyDescent="0.2">
      <c r="A63" s="67" t="s">
        <v>269</v>
      </c>
      <c r="B63" s="68" t="s">
        <v>270</v>
      </c>
      <c r="C63" s="68">
        <v>10</v>
      </c>
      <c r="D63">
        <f t="shared" si="0"/>
        <v>0</v>
      </c>
      <c r="H63">
        <f t="shared" si="1"/>
        <v>10</v>
      </c>
      <c r="J63">
        <f t="shared" si="3"/>
        <v>10</v>
      </c>
    </row>
    <row r="64" spans="1:10" x14ac:dyDescent="0.2">
      <c r="A64" s="67" t="s">
        <v>271</v>
      </c>
      <c r="B64" s="68" t="s">
        <v>272</v>
      </c>
      <c r="C64" s="68">
        <v>1</v>
      </c>
      <c r="D64">
        <f t="shared" si="0"/>
        <v>0</v>
      </c>
      <c r="H64">
        <f t="shared" si="1"/>
        <v>1</v>
      </c>
      <c r="J64">
        <f t="shared" si="3"/>
        <v>1</v>
      </c>
    </row>
    <row r="65" spans="1:10" x14ac:dyDescent="0.2">
      <c r="A65" s="67" t="s">
        <v>273</v>
      </c>
      <c r="B65" s="68" t="s">
        <v>274</v>
      </c>
      <c r="C65" s="68">
        <v>1</v>
      </c>
      <c r="D65">
        <f t="shared" si="0"/>
        <v>0</v>
      </c>
      <c r="H65">
        <f t="shared" si="1"/>
        <v>1</v>
      </c>
      <c r="J65">
        <f t="shared" si="3"/>
        <v>1</v>
      </c>
    </row>
    <row r="66" spans="1:10" x14ac:dyDescent="0.2">
      <c r="A66" s="67" t="s">
        <v>275</v>
      </c>
      <c r="B66" s="68" t="s">
        <v>276</v>
      </c>
      <c r="C66" s="68">
        <v>1</v>
      </c>
      <c r="D66">
        <f t="shared" si="0"/>
        <v>0</v>
      </c>
      <c r="H66">
        <f t="shared" si="1"/>
        <v>1</v>
      </c>
      <c r="J66">
        <f t="shared" si="3"/>
        <v>1</v>
      </c>
    </row>
    <row r="67" spans="1:10" x14ac:dyDescent="0.2">
      <c r="A67" s="67" t="s">
        <v>277</v>
      </c>
      <c r="B67" s="68" t="s">
        <v>278</v>
      </c>
      <c r="C67" s="68">
        <v>1</v>
      </c>
      <c r="D67">
        <f t="shared" si="0"/>
        <v>0</v>
      </c>
      <c r="H67">
        <f t="shared" si="1"/>
        <v>1</v>
      </c>
      <c r="J67">
        <f t="shared" si="3"/>
        <v>1</v>
      </c>
    </row>
    <row r="68" spans="1:10" x14ac:dyDescent="0.2">
      <c r="A68" s="67" t="s">
        <v>97</v>
      </c>
      <c r="B68" s="68" t="s">
        <v>98</v>
      </c>
      <c r="C68" s="68">
        <v>6170</v>
      </c>
      <c r="D68">
        <f t="shared" si="0"/>
        <v>8</v>
      </c>
      <c r="H68">
        <f t="shared" si="1"/>
        <v>6178</v>
      </c>
      <c r="J68">
        <f t="shared" si="3"/>
        <v>6178</v>
      </c>
    </row>
    <row r="69" spans="1:10" x14ac:dyDescent="0.2">
      <c r="A69" s="67" t="s">
        <v>279</v>
      </c>
      <c r="B69" s="68" t="s">
        <v>280</v>
      </c>
      <c r="C69" s="68">
        <v>1435</v>
      </c>
      <c r="D69">
        <f t="shared" ref="D69:D132" si="4">SUMIF(E:E, A69, G:G)</f>
        <v>0</v>
      </c>
      <c r="H69">
        <f t="shared" ref="H69:H132" si="5">C69+D69</f>
        <v>1435</v>
      </c>
      <c r="J69">
        <f t="shared" ref="J69:J132" si="6">C69+D69</f>
        <v>1435</v>
      </c>
    </row>
    <row r="70" spans="1:10" x14ac:dyDescent="0.2">
      <c r="A70" s="67" t="s">
        <v>281</v>
      </c>
      <c r="B70" s="68" t="s">
        <v>282</v>
      </c>
      <c r="C70" s="68">
        <v>1139</v>
      </c>
      <c r="D70">
        <f t="shared" si="4"/>
        <v>0</v>
      </c>
      <c r="H70">
        <f t="shared" si="5"/>
        <v>1139</v>
      </c>
      <c r="J70">
        <f t="shared" si="6"/>
        <v>1139</v>
      </c>
    </row>
    <row r="71" spans="1:10" x14ac:dyDescent="0.2">
      <c r="A71" s="67" t="s">
        <v>283</v>
      </c>
      <c r="B71" s="68" t="s">
        <v>284</v>
      </c>
      <c r="C71" s="68">
        <v>644</v>
      </c>
      <c r="D71">
        <f t="shared" si="4"/>
        <v>0</v>
      </c>
      <c r="H71">
        <f t="shared" si="5"/>
        <v>644</v>
      </c>
      <c r="J71">
        <f t="shared" si="6"/>
        <v>644</v>
      </c>
    </row>
    <row r="72" spans="1:10" x14ac:dyDescent="0.2">
      <c r="A72" s="67" t="s">
        <v>285</v>
      </c>
      <c r="B72" s="68" t="s">
        <v>286</v>
      </c>
      <c r="C72" s="68">
        <v>10</v>
      </c>
      <c r="D72">
        <f t="shared" si="4"/>
        <v>0</v>
      </c>
      <c r="H72">
        <f t="shared" si="5"/>
        <v>10</v>
      </c>
      <c r="J72">
        <f t="shared" si="6"/>
        <v>10</v>
      </c>
    </row>
    <row r="73" spans="1:10" x14ac:dyDescent="0.2">
      <c r="A73" s="67" t="s">
        <v>287</v>
      </c>
      <c r="B73" s="68" t="s">
        <v>288</v>
      </c>
      <c r="C73" s="68">
        <v>8</v>
      </c>
      <c r="D73">
        <f t="shared" si="4"/>
        <v>0</v>
      </c>
      <c r="H73">
        <f t="shared" si="5"/>
        <v>8</v>
      </c>
      <c r="J73">
        <f t="shared" si="6"/>
        <v>8</v>
      </c>
    </row>
    <row r="74" spans="1:10" x14ac:dyDescent="0.2">
      <c r="A74" s="67" t="s">
        <v>289</v>
      </c>
      <c r="B74" s="68" t="s">
        <v>290</v>
      </c>
      <c r="C74" s="68">
        <v>9</v>
      </c>
      <c r="D74">
        <f t="shared" si="4"/>
        <v>0</v>
      </c>
      <c r="H74">
        <f t="shared" si="5"/>
        <v>9</v>
      </c>
      <c r="J74">
        <f t="shared" si="6"/>
        <v>9</v>
      </c>
    </row>
    <row r="75" spans="1:10" x14ac:dyDescent="0.2">
      <c r="A75" s="67" t="s">
        <v>291</v>
      </c>
      <c r="B75" s="68" t="s">
        <v>292</v>
      </c>
      <c r="C75" s="68">
        <v>5</v>
      </c>
      <c r="D75">
        <f t="shared" si="4"/>
        <v>0</v>
      </c>
      <c r="H75">
        <f t="shared" si="5"/>
        <v>5</v>
      </c>
      <c r="J75">
        <f t="shared" si="6"/>
        <v>5</v>
      </c>
    </row>
    <row r="76" spans="1:10" x14ac:dyDescent="0.2">
      <c r="A76" s="67" t="s">
        <v>293</v>
      </c>
      <c r="B76" s="68" t="s">
        <v>294</v>
      </c>
      <c r="C76" s="68">
        <v>5</v>
      </c>
      <c r="D76">
        <f t="shared" si="4"/>
        <v>0</v>
      </c>
      <c r="H76">
        <f t="shared" si="5"/>
        <v>5</v>
      </c>
      <c r="J76">
        <f t="shared" si="6"/>
        <v>5</v>
      </c>
    </row>
    <row r="77" spans="1:10" x14ac:dyDescent="0.2">
      <c r="A77" s="67" t="s">
        <v>295</v>
      </c>
      <c r="B77" s="68" t="s">
        <v>296</v>
      </c>
      <c r="C77" s="68">
        <v>6</v>
      </c>
      <c r="D77">
        <f t="shared" si="4"/>
        <v>0</v>
      </c>
      <c r="H77">
        <f t="shared" si="5"/>
        <v>6</v>
      </c>
      <c r="J77">
        <f t="shared" si="6"/>
        <v>6</v>
      </c>
    </row>
    <row r="78" spans="1:10" x14ac:dyDescent="0.2">
      <c r="A78" s="67" t="s">
        <v>297</v>
      </c>
      <c r="B78" s="68" t="s">
        <v>298</v>
      </c>
      <c r="C78" s="68">
        <v>4</v>
      </c>
      <c r="D78">
        <f t="shared" si="4"/>
        <v>0</v>
      </c>
      <c r="H78">
        <f t="shared" si="5"/>
        <v>4</v>
      </c>
      <c r="J78">
        <f t="shared" si="6"/>
        <v>4</v>
      </c>
    </row>
    <row r="79" spans="1:10" x14ac:dyDescent="0.2">
      <c r="A79" s="67" t="s">
        <v>299</v>
      </c>
      <c r="B79" s="68" t="s">
        <v>300</v>
      </c>
      <c r="C79" s="68">
        <v>3</v>
      </c>
      <c r="D79">
        <f t="shared" si="4"/>
        <v>0</v>
      </c>
      <c r="H79">
        <f t="shared" si="5"/>
        <v>3</v>
      </c>
      <c r="J79">
        <f t="shared" si="6"/>
        <v>3</v>
      </c>
    </row>
    <row r="80" spans="1:10" x14ac:dyDescent="0.2">
      <c r="A80" s="67" t="s">
        <v>301</v>
      </c>
      <c r="B80" s="68" t="s">
        <v>302</v>
      </c>
      <c r="C80" s="68">
        <v>3</v>
      </c>
      <c r="D80">
        <f t="shared" si="4"/>
        <v>0</v>
      </c>
      <c r="H80">
        <f t="shared" si="5"/>
        <v>3</v>
      </c>
      <c r="J80">
        <f t="shared" si="6"/>
        <v>3</v>
      </c>
    </row>
    <row r="81" spans="1:10" x14ac:dyDescent="0.2">
      <c r="A81" s="67" t="s">
        <v>303</v>
      </c>
      <c r="B81" s="68" t="s">
        <v>304</v>
      </c>
      <c r="C81" s="68">
        <v>3</v>
      </c>
      <c r="D81">
        <f t="shared" si="4"/>
        <v>0</v>
      </c>
      <c r="H81">
        <f t="shared" si="5"/>
        <v>3</v>
      </c>
      <c r="J81">
        <f t="shared" si="6"/>
        <v>3</v>
      </c>
    </row>
    <row r="82" spans="1:10" x14ac:dyDescent="0.2">
      <c r="A82" s="67" t="s">
        <v>305</v>
      </c>
      <c r="B82" s="68" t="s">
        <v>306</v>
      </c>
      <c r="C82" s="68">
        <v>9</v>
      </c>
      <c r="D82">
        <f t="shared" si="4"/>
        <v>0</v>
      </c>
      <c r="H82">
        <f t="shared" si="5"/>
        <v>9</v>
      </c>
      <c r="J82">
        <f t="shared" si="6"/>
        <v>9</v>
      </c>
    </row>
    <row r="83" spans="1:10" x14ac:dyDescent="0.2">
      <c r="A83" s="67" t="s">
        <v>307</v>
      </c>
      <c r="B83" s="68" t="s">
        <v>308</v>
      </c>
      <c r="C83" s="68">
        <v>9</v>
      </c>
      <c r="D83">
        <f t="shared" si="4"/>
        <v>0</v>
      </c>
      <c r="H83">
        <f t="shared" si="5"/>
        <v>9</v>
      </c>
      <c r="J83">
        <f t="shared" si="6"/>
        <v>9</v>
      </c>
    </row>
    <row r="84" spans="1:10" x14ac:dyDescent="0.2">
      <c r="A84" s="67" t="s">
        <v>309</v>
      </c>
      <c r="B84" s="68" t="s">
        <v>310</v>
      </c>
      <c r="C84" s="68">
        <v>11</v>
      </c>
      <c r="D84">
        <f t="shared" si="4"/>
        <v>0</v>
      </c>
      <c r="H84">
        <f t="shared" si="5"/>
        <v>11</v>
      </c>
      <c r="J84">
        <f t="shared" si="6"/>
        <v>11</v>
      </c>
    </row>
    <row r="85" spans="1:10" x14ac:dyDescent="0.2">
      <c r="A85" s="67" t="s">
        <v>311</v>
      </c>
      <c r="B85" s="68" t="s">
        <v>312</v>
      </c>
      <c r="C85" s="68">
        <v>2</v>
      </c>
      <c r="D85">
        <f t="shared" si="4"/>
        <v>0</v>
      </c>
      <c r="H85">
        <f t="shared" si="5"/>
        <v>2</v>
      </c>
      <c r="J85">
        <f t="shared" si="6"/>
        <v>2</v>
      </c>
    </row>
    <row r="86" spans="1:10" x14ac:dyDescent="0.2">
      <c r="A86" s="67" t="s">
        <v>313</v>
      </c>
      <c r="B86" s="68" t="s">
        <v>308</v>
      </c>
      <c r="C86" s="68">
        <v>9</v>
      </c>
      <c r="D86">
        <f t="shared" si="4"/>
        <v>0</v>
      </c>
      <c r="H86">
        <f t="shared" si="5"/>
        <v>9</v>
      </c>
      <c r="J86">
        <f t="shared" si="6"/>
        <v>9</v>
      </c>
    </row>
    <row r="87" spans="1:10" x14ac:dyDescent="0.2">
      <c r="A87" s="67" t="s">
        <v>314</v>
      </c>
      <c r="B87" s="68" t="s">
        <v>312</v>
      </c>
      <c r="C87" s="68">
        <v>2</v>
      </c>
      <c r="D87">
        <f t="shared" si="4"/>
        <v>0</v>
      </c>
      <c r="H87">
        <f t="shared" si="5"/>
        <v>2</v>
      </c>
      <c r="J87">
        <f t="shared" si="6"/>
        <v>2</v>
      </c>
    </row>
    <row r="88" spans="1:10" x14ac:dyDescent="0.2">
      <c r="A88" s="67" t="s">
        <v>315</v>
      </c>
      <c r="B88" s="68" t="s">
        <v>316</v>
      </c>
      <c r="C88" s="68">
        <v>2</v>
      </c>
      <c r="D88">
        <f t="shared" si="4"/>
        <v>0</v>
      </c>
      <c r="H88">
        <f t="shared" si="5"/>
        <v>2</v>
      </c>
      <c r="J88">
        <f t="shared" si="6"/>
        <v>2</v>
      </c>
    </row>
    <row r="89" spans="1:10" x14ac:dyDescent="0.2">
      <c r="A89" s="67" t="s">
        <v>317</v>
      </c>
      <c r="B89" s="68" t="s">
        <v>318</v>
      </c>
      <c r="C89" s="68">
        <v>9</v>
      </c>
      <c r="D89">
        <f t="shared" si="4"/>
        <v>0</v>
      </c>
      <c r="H89">
        <f t="shared" si="5"/>
        <v>9</v>
      </c>
      <c r="J89">
        <f t="shared" si="6"/>
        <v>9</v>
      </c>
    </row>
    <row r="90" spans="1:10" x14ac:dyDescent="0.2">
      <c r="A90" s="67" t="s">
        <v>319</v>
      </c>
      <c r="B90" s="68" t="s">
        <v>320</v>
      </c>
      <c r="C90" s="68">
        <v>9</v>
      </c>
      <c r="D90">
        <f t="shared" si="4"/>
        <v>0</v>
      </c>
      <c r="H90">
        <f t="shared" si="5"/>
        <v>9</v>
      </c>
      <c r="J90">
        <f t="shared" si="6"/>
        <v>9</v>
      </c>
    </row>
    <row r="91" spans="1:10" x14ac:dyDescent="0.2">
      <c r="A91" s="67" t="s">
        <v>321</v>
      </c>
      <c r="B91" s="68" t="s">
        <v>322</v>
      </c>
      <c r="C91" s="68">
        <v>2</v>
      </c>
      <c r="D91">
        <f t="shared" si="4"/>
        <v>0</v>
      </c>
      <c r="H91">
        <f t="shared" si="5"/>
        <v>2</v>
      </c>
      <c r="J91">
        <f t="shared" si="6"/>
        <v>2</v>
      </c>
    </row>
    <row r="92" spans="1:10" x14ac:dyDescent="0.2">
      <c r="A92" s="67" t="s">
        <v>323</v>
      </c>
      <c r="B92" s="68" t="s">
        <v>324</v>
      </c>
      <c r="C92" s="68">
        <v>11</v>
      </c>
      <c r="D92">
        <f t="shared" si="4"/>
        <v>0</v>
      </c>
      <c r="H92">
        <f t="shared" si="5"/>
        <v>11</v>
      </c>
      <c r="J92">
        <f t="shared" si="6"/>
        <v>11</v>
      </c>
    </row>
    <row r="93" spans="1:10" x14ac:dyDescent="0.2">
      <c r="A93" s="67" t="s">
        <v>325</v>
      </c>
      <c r="B93" s="68" t="s">
        <v>206</v>
      </c>
      <c r="C93" s="68">
        <v>4</v>
      </c>
      <c r="D93">
        <f t="shared" si="4"/>
        <v>0</v>
      </c>
      <c r="H93">
        <f t="shared" si="5"/>
        <v>4</v>
      </c>
      <c r="J93">
        <f t="shared" si="6"/>
        <v>4</v>
      </c>
    </row>
    <row r="94" spans="1:10" x14ac:dyDescent="0.2">
      <c r="A94" s="67" t="s">
        <v>63</v>
      </c>
      <c r="B94" s="68" t="s">
        <v>64</v>
      </c>
      <c r="C94" s="68">
        <v>6398</v>
      </c>
      <c r="D94">
        <f t="shared" si="4"/>
        <v>35</v>
      </c>
      <c r="H94">
        <f t="shared" si="5"/>
        <v>6433</v>
      </c>
      <c r="J94">
        <f t="shared" si="6"/>
        <v>6433</v>
      </c>
    </row>
    <row r="95" spans="1:10" x14ac:dyDescent="0.2">
      <c r="A95" s="67" t="s">
        <v>83</v>
      </c>
      <c r="B95" s="68" t="s">
        <v>84</v>
      </c>
      <c r="C95" s="68">
        <v>3478</v>
      </c>
      <c r="D95">
        <f t="shared" si="4"/>
        <v>12</v>
      </c>
      <c r="H95">
        <f t="shared" si="5"/>
        <v>3490</v>
      </c>
      <c r="J95">
        <f t="shared" si="6"/>
        <v>3490</v>
      </c>
    </row>
    <row r="96" spans="1:10" x14ac:dyDescent="0.2">
      <c r="A96" s="67" t="s">
        <v>113</v>
      </c>
      <c r="B96" s="68" t="s">
        <v>114</v>
      </c>
      <c r="C96" s="68">
        <v>1626</v>
      </c>
      <c r="D96">
        <f t="shared" si="4"/>
        <v>5</v>
      </c>
      <c r="H96">
        <f t="shared" si="5"/>
        <v>1631</v>
      </c>
      <c r="J96">
        <f t="shared" si="6"/>
        <v>1631</v>
      </c>
    </row>
    <row r="97" spans="1:10" x14ac:dyDescent="0.2">
      <c r="A97" s="67" t="s">
        <v>326</v>
      </c>
      <c r="B97" s="68" t="s">
        <v>327</v>
      </c>
      <c r="C97" s="68">
        <v>946</v>
      </c>
      <c r="D97">
        <f t="shared" si="4"/>
        <v>0</v>
      </c>
      <c r="H97">
        <f t="shared" si="5"/>
        <v>946</v>
      </c>
      <c r="J97">
        <f t="shared" si="6"/>
        <v>946</v>
      </c>
    </row>
    <row r="98" spans="1:10" x14ac:dyDescent="0.2">
      <c r="A98" s="67" t="s">
        <v>328</v>
      </c>
      <c r="B98" s="68" t="s">
        <v>329</v>
      </c>
      <c r="C98" s="68">
        <v>1070</v>
      </c>
      <c r="D98">
        <f t="shared" si="4"/>
        <v>0</v>
      </c>
      <c r="H98">
        <f t="shared" si="5"/>
        <v>1070</v>
      </c>
      <c r="J98">
        <f t="shared" si="6"/>
        <v>1070</v>
      </c>
    </row>
    <row r="99" spans="1:10" x14ac:dyDescent="0.2">
      <c r="A99" s="67" t="s">
        <v>330</v>
      </c>
      <c r="B99" s="68" t="s">
        <v>331</v>
      </c>
      <c r="C99" s="68">
        <v>1663</v>
      </c>
      <c r="D99">
        <f t="shared" si="4"/>
        <v>0</v>
      </c>
      <c r="H99">
        <f t="shared" si="5"/>
        <v>1663</v>
      </c>
      <c r="J99">
        <f t="shared" si="6"/>
        <v>1663</v>
      </c>
    </row>
    <row r="100" spans="1:10" x14ac:dyDescent="0.2">
      <c r="A100" s="67" t="s">
        <v>332</v>
      </c>
      <c r="B100" s="68" t="s">
        <v>333</v>
      </c>
      <c r="C100" s="68">
        <v>763</v>
      </c>
      <c r="D100">
        <f t="shared" si="4"/>
        <v>0</v>
      </c>
      <c r="H100">
        <f t="shared" si="5"/>
        <v>763</v>
      </c>
      <c r="J100">
        <f t="shared" si="6"/>
        <v>763</v>
      </c>
    </row>
    <row r="101" spans="1:10" x14ac:dyDescent="0.2">
      <c r="A101" s="67" t="s">
        <v>334</v>
      </c>
      <c r="B101" s="68" t="s">
        <v>335</v>
      </c>
      <c r="C101" s="68">
        <v>5</v>
      </c>
      <c r="D101">
        <f t="shared" si="4"/>
        <v>0</v>
      </c>
      <c r="H101">
        <f t="shared" si="5"/>
        <v>5</v>
      </c>
      <c r="J101">
        <f t="shared" si="6"/>
        <v>5</v>
      </c>
    </row>
    <row r="102" spans="1:10" x14ac:dyDescent="0.2">
      <c r="A102" s="67" t="s">
        <v>336</v>
      </c>
      <c r="B102" s="68" t="s">
        <v>337</v>
      </c>
      <c r="C102" s="68">
        <v>3</v>
      </c>
      <c r="D102">
        <f t="shared" si="4"/>
        <v>0</v>
      </c>
      <c r="H102">
        <f t="shared" si="5"/>
        <v>3</v>
      </c>
      <c r="J102">
        <f t="shared" si="6"/>
        <v>3</v>
      </c>
    </row>
    <row r="103" spans="1:10" x14ac:dyDescent="0.2">
      <c r="A103" s="67" t="s">
        <v>338</v>
      </c>
      <c r="B103" s="68" t="s">
        <v>339</v>
      </c>
      <c r="C103" s="68">
        <v>1</v>
      </c>
      <c r="D103">
        <f t="shared" si="4"/>
        <v>0</v>
      </c>
      <c r="H103">
        <f t="shared" si="5"/>
        <v>1</v>
      </c>
      <c r="J103">
        <f t="shared" si="6"/>
        <v>1</v>
      </c>
    </row>
    <row r="104" spans="1:10" x14ac:dyDescent="0.2">
      <c r="A104" s="67" t="s">
        <v>340</v>
      </c>
      <c r="B104" s="68" t="s">
        <v>341</v>
      </c>
      <c r="C104" s="68">
        <v>1</v>
      </c>
      <c r="D104">
        <f t="shared" si="4"/>
        <v>0</v>
      </c>
      <c r="H104">
        <f t="shared" si="5"/>
        <v>1</v>
      </c>
      <c r="J104">
        <f t="shared" si="6"/>
        <v>1</v>
      </c>
    </row>
    <row r="105" spans="1:10" x14ac:dyDescent="0.2">
      <c r="A105" s="67" t="s">
        <v>342</v>
      </c>
      <c r="B105" s="68" t="s">
        <v>343</v>
      </c>
      <c r="C105" s="68">
        <v>1</v>
      </c>
      <c r="D105">
        <f t="shared" si="4"/>
        <v>0</v>
      </c>
      <c r="H105">
        <f t="shared" si="5"/>
        <v>1</v>
      </c>
      <c r="J105">
        <f t="shared" si="6"/>
        <v>1</v>
      </c>
    </row>
    <row r="106" spans="1:10" x14ac:dyDescent="0.2">
      <c r="A106" s="67" t="s">
        <v>344</v>
      </c>
      <c r="B106" s="68" t="s">
        <v>345</v>
      </c>
      <c r="C106" s="68">
        <v>1</v>
      </c>
      <c r="D106">
        <f t="shared" si="4"/>
        <v>0</v>
      </c>
      <c r="H106">
        <f t="shared" si="5"/>
        <v>1</v>
      </c>
      <c r="J106">
        <f t="shared" si="6"/>
        <v>1</v>
      </c>
    </row>
    <row r="107" spans="1:10" x14ac:dyDescent="0.2">
      <c r="A107" s="67" t="s">
        <v>346</v>
      </c>
      <c r="B107" s="68" t="s">
        <v>347</v>
      </c>
      <c r="C107" s="68">
        <v>6</v>
      </c>
      <c r="D107">
        <f t="shared" si="4"/>
        <v>0</v>
      </c>
      <c r="H107">
        <f t="shared" si="5"/>
        <v>6</v>
      </c>
      <c r="J107">
        <f t="shared" si="6"/>
        <v>6</v>
      </c>
    </row>
    <row r="108" spans="1:10" x14ac:dyDescent="0.2">
      <c r="A108" s="67" t="s">
        <v>79</v>
      </c>
      <c r="B108" s="68" t="s">
        <v>80</v>
      </c>
      <c r="C108" s="68">
        <v>6647</v>
      </c>
      <c r="D108">
        <f t="shared" si="4"/>
        <v>17</v>
      </c>
      <c r="H108">
        <f t="shared" si="5"/>
        <v>6664</v>
      </c>
      <c r="J108">
        <f t="shared" si="6"/>
        <v>6664</v>
      </c>
    </row>
    <row r="109" spans="1:10" x14ac:dyDescent="0.2">
      <c r="A109" s="67" t="s">
        <v>348</v>
      </c>
      <c r="B109" s="68" t="s">
        <v>349</v>
      </c>
      <c r="C109" s="68">
        <v>1081</v>
      </c>
      <c r="D109">
        <f t="shared" si="4"/>
        <v>0</v>
      </c>
      <c r="H109">
        <f t="shared" si="5"/>
        <v>1081</v>
      </c>
      <c r="J109">
        <f t="shared" si="6"/>
        <v>1081</v>
      </c>
    </row>
    <row r="110" spans="1:10" x14ac:dyDescent="0.2">
      <c r="A110" s="67" t="s">
        <v>350</v>
      </c>
      <c r="B110" s="68" t="s">
        <v>349</v>
      </c>
      <c r="C110" s="68">
        <v>776</v>
      </c>
      <c r="D110">
        <f t="shared" si="4"/>
        <v>0</v>
      </c>
      <c r="H110">
        <f t="shared" si="5"/>
        <v>776</v>
      </c>
      <c r="J110">
        <f t="shared" si="6"/>
        <v>776</v>
      </c>
    </row>
    <row r="111" spans="1:10" x14ac:dyDescent="0.2">
      <c r="A111" s="67" t="s">
        <v>351</v>
      </c>
      <c r="B111" s="68" t="s">
        <v>352</v>
      </c>
      <c r="C111" s="68">
        <v>477</v>
      </c>
      <c r="D111">
        <f t="shared" si="4"/>
        <v>0</v>
      </c>
      <c r="H111">
        <f t="shared" si="5"/>
        <v>477</v>
      </c>
      <c r="J111">
        <f t="shared" si="6"/>
        <v>477</v>
      </c>
    </row>
    <row r="112" spans="1:10" x14ac:dyDescent="0.2">
      <c r="A112" s="67" t="s">
        <v>353</v>
      </c>
      <c r="B112" s="68" t="s">
        <v>354</v>
      </c>
      <c r="C112" s="68">
        <v>1088</v>
      </c>
      <c r="D112">
        <f t="shared" si="4"/>
        <v>0</v>
      </c>
      <c r="H112">
        <f t="shared" si="5"/>
        <v>1088</v>
      </c>
      <c r="J112">
        <f t="shared" si="6"/>
        <v>1088</v>
      </c>
    </row>
    <row r="113" spans="1:10" x14ac:dyDescent="0.2">
      <c r="A113" s="67" t="s">
        <v>355</v>
      </c>
      <c r="B113" s="68" t="s">
        <v>306</v>
      </c>
      <c r="C113" s="68">
        <v>7</v>
      </c>
      <c r="D113">
        <f t="shared" si="4"/>
        <v>0</v>
      </c>
      <c r="H113">
        <f t="shared" si="5"/>
        <v>7</v>
      </c>
      <c r="J113">
        <f t="shared" si="6"/>
        <v>7</v>
      </c>
    </row>
    <row r="114" spans="1:10" x14ac:dyDescent="0.2">
      <c r="A114" s="67" t="s">
        <v>356</v>
      </c>
      <c r="B114" s="68" t="s">
        <v>268</v>
      </c>
      <c r="C114" s="68">
        <v>3</v>
      </c>
      <c r="D114">
        <f t="shared" si="4"/>
        <v>0</v>
      </c>
      <c r="H114">
        <f t="shared" si="5"/>
        <v>3</v>
      </c>
      <c r="J114">
        <f t="shared" si="6"/>
        <v>3</v>
      </c>
    </row>
    <row r="115" spans="1:10" x14ac:dyDescent="0.2">
      <c r="A115" s="67" t="s">
        <v>357</v>
      </c>
      <c r="B115" s="68" t="s">
        <v>308</v>
      </c>
      <c r="C115" s="68">
        <v>7</v>
      </c>
      <c r="D115">
        <f t="shared" si="4"/>
        <v>0</v>
      </c>
      <c r="H115">
        <f t="shared" si="5"/>
        <v>7</v>
      </c>
      <c r="J115">
        <f t="shared" si="6"/>
        <v>7</v>
      </c>
    </row>
    <row r="116" spans="1:10" x14ac:dyDescent="0.2">
      <c r="A116" s="67" t="s">
        <v>358</v>
      </c>
      <c r="B116" s="68" t="s">
        <v>359</v>
      </c>
      <c r="C116" s="68">
        <v>2</v>
      </c>
      <c r="D116">
        <f t="shared" si="4"/>
        <v>0</v>
      </c>
      <c r="H116">
        <f t="shared" si="5"/>
        <v>2</v>
      </c>
      <c r="J116">
        <f t="shared" si="6"/>
        <v>2</v>
      </c>
    </row>
    <row r="117" spans="1:10" x14ac:dyDescent="0.2">
      <c r="A117" s="67" t="s">
        <v>360</v>
      </c>
      <c r="B117" s="68" t="s">
        <v>361</v>
      </c>
      <c r="C117" s="68">
        <v>2</v>
      </c>
      <c r="D117">
        <f t="shared" si="4"/>
        <v>0</v>
      </c>
      <c r="H117">
        <f t="shared" si="5"/>
        <v>2</v>
      </c>
      <c r="J117">
        <f t="shared" si="6"/>
        <v>2</v>
      </c>
    </row>
    <row r="118" spans="1:10" x14ac:dyDescent="0.2">
      <c r="A118" s="67" t="s">
        <v>362</v>
      </c>
      <c r="B118" s="68" t="s">
        <v>363</v>
      </c>
      <c r="C118" s="68">
        <v>2</v>
      </c>
      <c r="D118">
        <f t="shared" si="4"/>
        <v>0</v>
      </c>
      <c r="H118">
        <f t="shared" si="5"/>
        <v>2</v>
      </c>
      <c r="J118">
        <f t="shared" si="6"/>
        <v>2</v>
      </c>
    </row>
    <row r="119" spans="1:10" x14ac:dyDescent="0.2">
      <c r="A119" s="67" t="s">
        <v>364</v>
      </c>
      <c r="B119" s="68" t="s">
        <v>365</v>
      </c>
      <c r="C119" s="68">
        <v>2</v>
      </c>
      <c r="D119">
        <f t="shared" si="4"/>
        <v>0</v>
      </c>
      <c r="H119">
        <f t="shared" si="5"/>
        <v>2</v>
      </c>
      <c r="J119">
        <f t="shared" si="6"/>
        <v>2</v>
      </c>
    </row>
    <row r="120" spans="1:10" x14ac:dyDescent="0.2">
      <c r="A120" s="67" t="s">
        <v>366</v>
      </c>
      <c r="B120" s="68" t="s">
        <v>251</v>
      </c>
      <c r="C120" s="68">
        <v>1</v>
      </c>
      <c r="D120">
        <f t="shared" si="4"/>
        <v>0</v>
      </c>
      <c r="H120">
        <f t="shared" si="5"/>
        <v>1</v>
      </c>
      <c r="J120">
        <f t="shared" si="6"/>
        <v>1</v>
      </c>
    </row>
    <row r="121" spans="1:10" x14ac:dyDescent="0.2">
      <c r="A121" s="67" t="s">
        <v>367</v>
      </c>
      <c r="B121" s="68" t="s">
        <v>368</v>
      </c>
      <c r="C121" s="68">
        <v>1</v>
      </c>
      <c r="D121">
        <f t="shared" si="4"/>
        <v>0</v>
      </c>
      <c r="H121">
        <f t="shared" si="5"/>
        <v>1</v>
      </c>
      <c r="J121">
        <f t="shared" si="6"/>
        <v>1</v>
      </c>
    </row>
    <row r="122" spans="1:10" x14ac:dyDescent="0.2">
      <c r="A122" s="67" t="s">
        <v>369</v>
      </c>
      <c r="B122" s="68" t="s">
        <v>370</v>
      </c>
      <c r="C122" s="68">
        <v>4</v>
      </c>
      <c r="D122">
        <f t="shared" si="4"/>
        <v>0</v>
      </c>
      <c r="H122">
        <f t="shared" si="5"/>
        <v>4</v>
      </c>
      <c r="J122">
        <f t="shared" si="6"/>
        <v>4</v>
      </c>
    </row>
    <row r="123" spans="1:10" x14ac:dyDescent="0.2">
      <c r="A123" s="67" t="s">
        <v>371</v>
      </c>
      <c r="B123" s="68" t="s">
        <v>243</v>
      </c>
      <c r="C123" s="68">
        <v>1</v>
      </c>
      <c r="D123">
        <f t="shared" si="4"/>
        <v>0</v>
      </c>
      <c r="H123">
        <f t="shared" si="5"/>
        <v>1</v>
      </c>
      <c r="J123">
        <f t="shared" si="6"/>
        <v>1</v>
      </c>
    </row>
    <row r="124" spans="1:10" x14ac:dyDescent="0.2">
      <c r="A124" s="67" t="s">
        <v>77</v>
      </c>
      <c r="B124" s="68" t="s">
        <v>78</v>
      </c>
      <c r="C124" s="68">
        <v>10096</v>
      </c>
      <c r="D124">
        <f t="shared" si="4"/>
        <v>19</v>
      </c>
      <c r="H124">
        <f t="shared" si="5"/>
        <v>10115</v>
      </c>
      <c r="J124">
        <f t="shared" si="6"/>
        <v>10115</v>
      </c>
    </row>
    <row r="125" spans="1:10" x14ac:dyDescent="0.2">
      <c r="A125" s="67" t="s">
        <v>111</v>
      </c>
      <c r="B125" s="68" t="s">
        <v>112</v>
      </c>
      <c r="C125" s="68">
        <v>831</v>
      </c>
      <c r="D125">
        <f t="shared" si="4"/>
        <v>6</v>
      </c>
      <c r="H125">
        <f t="shared" si="5"/>
        <v>837</v>
      </c>
      <c r="J125">
        <f t="shared" si="6"/>
        <v>837</v>
      </c>
    </row>
    <row r="126" spans="1:10" x14ac:dyDescent="0.2">
      <c r="A126" s="67" t="s">
        <v>115</v>
      </c>
      <c r="B126" s="68" t="s">
        <v>116</v>
      </c>
      <c r="C126" s="68">
        <v>766</v>
      </c>
      <c r="D126">
        <f t="shared" si="4"/>
        <v>5</v>
      </c>
      <c r="H126">
        <f t="shared" si="5"/>
        <v>771</v>
      </c>
      <c r="J126">
        <f t="shared" si="6"/>
        <v>771</v>
      </c>
    </row>
    <row r="127" spans="1:10" x14ac:dyDescent="0.2">
      <c r="A127" s="67" t="s">
        <v>101</v>
      </c>
      <c r="B127" s="68" t="s">
        <v>102</v>
      </c>
      <c r="C127" s="68">
        <v>848</v>
      </c>
      <c r="D127">
        <f t="shared" si="4"/>
        <v>8</v>
      </c>
      <c r="H127">
        <f t="shared" si="5"/>
        <v>856</v>
      </c>
      <c r="J127">
        <f t="shared" si="6"/>
        <v>856</v>
      </c>
    </row>
    <row r="128" spans="1:10" x14ac:dyDescent="0.2">
      <c r="A128" s="67" t="s">
        <v>372</v>
      </c>
      <c r="B128" s="68" t="s">
        <v>373</v>
      </c>
      <c r="C128" s="68">
        <v>723</v>
      </c>
      <c r="D128">
        <f t="shared" si="4"/>
        <v>0</v>
      </c>
      <c r="H128">
        <f t="shared" si="5"/>
        <v>723</v>
      </c>
      <c r="J128">
        <f t="shared" si="6"/>
        <v>723</v>
      </c>
    </row>
    <row r="129" spans="1:10" x14ac:dyDescent="0.2">
      <c r="A129" s="67" t="s">
        <v>374</v>
      </c>
      <c r="B129" s="68" t="s">
        <v>375</v>
      </c>
      <c r="C129" s="68">
        <v>716</v>
      </c>
      <c r="D129">
        <f t="shared" si="4"/>
        <v>0</v>
      </c>
      <c r="H129">
        <f t="shared" si="5"/>
        <v>716</v>
      </c>
      <c r="J129">
        <f t="shared" si="6"/>
        <v>716</v>
      </c>
    </row>
    <row r="130" spans="1:10" x14ac:dyDescent="0.2">
      <c r="A130" s="67" t="s">
        <v>376</v>
      </c>
      <c r="B130" s="68" t="s">
        <v>78</v>
      </c>
      <c r="C130" s="68">
        <v>660</v>
      </c>
      <c r="D130">
        <f t="shared" si="4"/>
        <v>0</v>
      </c>
      <c r="H130">
        <f t="shared" si="5"/>
        <v>660</v>
      </c>
      <c r="J130">
        <f t="shared" si="6"/>
        <v>660</v>
      </c>
    </row>
    <row r="131" spans="1:10" x14ac:dyDescent="0.2">
      <c r="A131" s="67" t="s">
        <v>377</v>
      </c>
      <c r="B131" s="68" t="s">
        <v>378</v>
      </c>
      <c r="C131" s="68">
        <v>449</v>
      </c>
      <c r="D131">
        <f t="shared" si="4"/>
        <v>0</v>
      </c>
      <c r="H131">
        <f t="shared" si="5"/>
        <v>449</v>
      </c>
      <c r="J131">
        <f t="shared" si="6"/>
        <v>449</v>
      </c>
    </row>
    <row r="132" spans="1:10" x14ac:dyDescent="0.2">
      <c r="A132" s="67" t="s">
        <v>379</v>
      </c>
      <c r="B132" s="68" t="s">
        <v>380</v>
      </c>
      <c r="C132" s="68">
        <v>1</v>
      </c>
      <c r="D132">
        <f t="shared" si="4"/>
        <v>0</v>
      </c>
      <c r="H132">
        <f t="shared" si="5"/>
        <v>1</v>
      </c>
      <c r="J132">
        <f t="shared" si="6"/>
        <v>1</v>
      </c>
    </row>
    <row r="133" spans="1:10" x14ac:dyDescent="0.2">
      <c r="A133" s="67" t="s">
        <v>71</v>
      </c>
      <c r="B133" s="68" t="s">
        <v>72</v>
      </c>
      <c r="C133" s="68">
        <v>6267</v>
      </c>
      <c r="D133">
        <f t="shared" ref="D133:D178" si="7">SUMIF(E:E, A133, G:G)</f>
        <v>24</v>
      </c>
      <c r="H133">
        <f t="shared" ref="H133:H177" si="8">C133+D133</f>
        <v>6291</v>
      </c>
      <c r="J133">
        <f t="shared" ref="J133:J177" si="9">C133+D133</f>
        <v>6291</v>
      </c>
    </row>
    <row r="134" spans="1:10" x14ac:dyDescent="0.2">
      <c r="A134" s="67" t="s">
        <v>93</v>
      </c>
      <c r="B134" s="68" t="s">
        <v>94</v>
      </c>
      <c r="C134" s="68">
        <v>3254</v>
      </c>
      <c r="D134">
        <f t="shared" si="7"/>
        <v>9</v>
      </c>
      <c r="H134">
        <f t="shared" si="8"/>
        <v>3263</v>
      </c>
      <c r="J134">
        <f t="shared" si="9"/>
        <v>3263</v>
      </c>
    </row>
    <row r="135" spans="1:10" x14ac:dyDescent="0.2">
      <c r="A135" s="67" t="s">
        <v>381</v>
      </c>
      <c r="B135" s="68" t="s">
        <v>382</v>
      </c>
      <c r="C135" s="68">
        <v>1374</v>
      </c>
      <c r="D135">
        <f t="shared" si="7"/>
        <v>0</v>
      </c>
      <c r="H135">
        <f t="shared" si="8"/>
        <v>1374</v>
      </c>
      <c r="J135">
        <f t="shared" si="9"/>
        <v>1374</v>
      </c>
    </row>
    <row r="136" spans="1:10" x14ac:dyDescent="0.2">
      <c r="A136" s="67" t="s">
        <v>383</v>
      </c>
      <c r="B136" s="68" t="s">
        <v>384</v>
      </c>
      <c r="C136" s="68">
        <v>711</v>
      </c>
      <c r="D136">
        <f t="shared" si="7"/>
        <v>0</v>
      </c>
      <c r="H136">
        <f t="shared" si="8"/>
        <v>711</v>
      </c>
      <c r="J136">
        <f t="shared" si="9"/>
        <v>711</v>
      </c>
    </row>
    <row r="137" spans="1:10" x14ac:dyDescent="0.2">
      <c r="A137" s="67" t="s">
        <v>385</v>
      </c>
      <c r="B137" s="68" t="s">
        <v>106</v>
      </c>
      <c r="C137" s="68">
        <v>5269</v>
      </c>
      <c r="D137">
        <f t="shared" si="7"/>
        <v>0</v>
      </c>
      <c r="H137">
        <f t="shared" si="8"/>
        <v>5269</v>
      </c>
      <c r="J137">
        <f t="shared" si="9"/>
        <v>5269</v>
      </c>
    </row>
    <row r="138" spans="1:10" x14ac:dyDescent="0.2">
      <c r="A138" s="67" t="s">
        <v>386</v>
      </c>
      <c r="B138" s="68" t="s">
        <v>387</v>
      </c>
      <c r="C138" s="68">
        <v>1239</v>
      </c>
      <c r="D138">
        <f t="shared" si="7"/>
        <v>0</v>
      </c>
      <c r="H138">
        <f t="shared" si="8"/>
        <v>1239</v>
      </c>
      <c r="J138">
        <f t="shared" si="9"/>
        <v>1239</v>
      </c>
    </row>
    <row r="139" spans="1:10" x14ac:dyDescent="0.2">
      <c r="A139" s="67" t="s">
        <v>388</v>
      </c>
      <c r="B139" s="68" t="s">
        <v>389</v>
      </c>
      <c r="C139" s="68">
        <v>908</v>
      </c>
      <c r="D139">
        <f t="shared" si="7"/>
        <v>0</v>
      </c>
      <c r="H139">
        <f t="shared" si="8"/>
        <v>908</v>
      </c>
      <c r="J139">
        <f t="shared" si="9"/>
        <v>908</v>
      </c>
    </row>
    <row r="140" spans="1:10" x14ac:dyDescent="0.2">
      <c r="A140" s="67" t="s">
        <v>390</v>
      </c>
      <c r="B140" s="68" t="s">
        <v>391</v>
      </c>
      <c r="C140" s="68">
        <v>824</v>
      </c>
      <c r="D140">
        <f t="shared" si="7"/>
        <v>0</v>
      </c>
      <c r="H140">
        <f t="shared" si="8"/>
        <v>824</v>
      </c>
      <c r="J140">
        <f t="shared" si="9"/>
        <v>824</v>
      </c>
    </row>
    <row r="141" spans="1:10" x14ac:dyDescent="0.2">
      <c r="A141" s="67" t="s">
        <v>105</v>
      </c>
      <c r="B141" s="68" t="s">
        <v>106</v>
      </c>
      <c r="C141" s="68">
        <v>774</v>
      </c>
      <c r="D141">
        <f t="shared" si="7"/>
        <v>7</v>
      </c>
      <c r="H141">
        <f t="shared" si="8"/>
        <v>781</v>
      </c>
      <c r="J141">
        <f t="shared" si="9"/>
        <v>781</v>
      </c>
    </row>
    <row r="142" spans="1:10" x14ac:dyDescent="0.2">
      <c r="A142" s="67" t="s">
        <v>117</v>
      </c>
      <c r="B142" s="68" t="s">
        <v>118</v>
      </c>
      <c r="C142" s="68">
        <v>760</v>
      </c>
      <c r="D142">
        <f t="shared" si="7"/>
        <v>5</v>
      </c>
      <c r="H142">
        <f t="shared" si="8"/>
        <v>765</v>
      </c>
      <c r="J142">
        <f t="shared" si="9"/>
        <v>765</v>
      </c>
    </row>
    <row r="143" spans="1:10" x14ac:dyDescent="0.2">
      <c r="A143" s="67" t="s">
        <v>392</v>
      </c>
      <c r="B143" s="68" t="s">
        <v>106</v>
      </c>
      <c r="C143" s="68">
        <v>512</v>
      </c>
      <c r="D143">
        <f t="shared" si="7"/>
        <v>0</v>
      </c>
      <c r="H143">
        <f t="shared" si="8"/>
        <v>512</v>
      </c>
      <c r="J143">
        <f t="shared" si="9"/>
        <v>512</v>
      </c>
    </row>
    <row r="144" spans="1:10" x14ac:dyDescent="0.2">
      <c r="A144" s="67" t="s">
        <v>393</v>
      </c>
      <c r="B144" s="68" t="s">
        <v>394</v>
      </c>
      <c r="C144" s="68">
        <v>2</v>
      </c>
      <c r="D144">
        <f t="shared" si="7"/>
        <v>0</v>
      </c>
      <c r="H144">
        <f t="shared" si="8"/>
        <v>2</v>
      </c>
      <c r="J144">
        <f t="shared" si="9"/>
        <v>2</v>
      </c>
    </row>
    <row r="145" spans="1:10" x14ac:dyDescent="0.2">
      <c r="A145" s="67" t="s">
        <v>89</v>
      </c>
      <c r="B145" s="68" t="s">
        <v>90</v>
      </c>
      <c r="C145" s="68">
        <v>11918</v>
      </c>
      <c r="D145">
        <f t="shared" si="7"/>
        <v>11</v>
      </c>
      <c r="H145">
        <f t="shared" si="8"/>
        <v>11929</v>
      </c>
      <c r="J145">
        <f t="shared" si="9"/>
        <v>11929</v>
      </c>
    </row>
    <row r="146" spans="1:10" x14ac:dyDescent="0.2">
      <c r="A146" s="67" t="s">
        <v>81</v>
      </c>
      <c r="B146" s="68" t="s">
        <v>82</v>
      </c>
      <c r="C146" s="68">
        <v>8600</v>
      </c>
      <c r="D146">
        <f t="shared" si="7"/>
        <v>15</v>
      </c>
      <c r="H146">
        <f t="shared" si="8"/>
        <v>8615</v>
      </c>
      <c r="J146">
        <f t="shared" si="9"/>
        <v>8615</v>
      </c>
    </row>
    <row r="147" spans="1:10" x14ac:dyDescent="0.2">
      <c r="A147" s="67" t="s">
        <v>91</v>
      </c>
      <c r="B147" s="68" t="s">
        <v>92</v>
      </c>
      <c r="C147" s="68">
        <v>2891</v>
      </c>
      <c r="D147">
        <f t="shared" si="7"/>
        <v>9</v>
      </c>
      <c r="H147">
        <f t="shared" si="8"/>
        <v>2900</v>
      </c>
      <c r="J147">
        <f t="shared" si="9"/>
        <v>2900</v>
      </c>
    </row>
    <row r="148" spans="1:10" x14ac:dyDescent="0.2">
      <c r="A148" s="67" t="s">
        <v>99</v>
      </c>
      <c r="B148" s="68" t="s">
        <v>100</v>
      </c>
      <c r="C148" s="68">
        <v>2673</v>
      </c>
      <c r="D148">
        <f t="shared" si="7"/>
        <v>8</v>
      </c>
      <c r="H148">
        <f t="shared" si="8"/>
        <v>2681</v>
      </c>
      <c r="J148">
        <f t="shared" si="9"/>
        <v>2681</v>
      </c>
    </row>
    <row r="149" spans="1:10" x14ac:dyDescent="0.2">
      <c r="A149" s="67" t="s">
        <v>103</v>
      </c>
      <c r="B149" s="68" t="s">
        <v>104</v>
      </c>
      <c r="C149" s="68">
        <v>1142</v>
      </c>
      <c r="D149">
        <f t="shared" si="7"/>
        <v>7</v>
      </c>
      <c r="H149">
        <f t="shared" si="8"/>
        <v>1149</v>
      </c>
      <c r="J149">
        <f t="shared" si="9"/>
        <v>1149</v>
      </c>
    </row>
    <row r="150" spans="1:10" x14ac:dyDescent="0.2">
      <c r="A150" s="67" t="s">
        <v>395</v>
      </c>
      <c r="B150" s="68" t="s">
        <v>90</v>
      </c>
      <c r="C150" s="68">
        <v>1068</v>
      </c>
      <c r="D150">
        <f t="shared" si="7"/>
        <v>0</v>
      </c>
      <c r="H150">
        <f t="shared" si="8"/>
        <v>1068</v>
      </c>
      <c r="J150">
        <f t="shared" si="9"/>
        <v>1068</v>
      </c>
    </row>
    <row r="151" spans="1:10" x14ac:dyDescent="0.2">
      <c r="A151" s="67" t="s">
        <v>396</v>
      </c>
      <c r="B151" s="68" t="s">
        <v>397</v>
      </c>
      <c r="C151" s="68">
        <v>3</v>
      </c>
      <c r="D151">
        <f t="shared" si="7"/>
        <v>0</v>
      </c>
      <c r="H151">
        <f t="shared" si="8"/>
        <v>3</v>
      </c>
      <c r="J151">
        <f t="shared" si="9"/>
        <v>3</v>
      </c>
    </row>
    <row r="152" spans="1:10" x14ac:dyDescent="0.2">
      <c r="A152" s="67" t="s">
        <v>398</v>
      </c>
      <c r="B152" s="68" t="s">
        <v>399</v>
      </c>
      <c r="C152" s="68">
        <v>2</v>
      </c>
      <c r="D152">
        <f t="shared" si="7"/>
        <v>0</v>
      </c>
      <c r="H152">
        <f t="shared" si="8"/>
        <v>2</v>
      </c>
      <c r="J152">
        <f t="shared" si="9"/>
        <v>2</v>
      </c>
    </row>
    <row r="153" spans="1:10" x14ac:dyDescent="0.2">
      <c r="A153" s="67" t="s">
        <v>400</v>
      </c>
      <c r="B153" s="68" t="s">
        <v>397</v>
      </c>
      <c r="C153" s="68">
        <v>1</v>
      </c>
      <c r="D153">
        <f t="shared" si="7"/>
        <v>0</v>
      </c>
      <c r="H153">
        <f t="shared" si="8"/>
        <v>1</v>
      </c>
      <c r="J153">
        <f t="shared" si="9"/>
        <v>1</v>
      </c>
    </row>
    <row r="154" spans="1:10" x14ac:dyDescent="0.2">
      <c r="A154" s="67" t="s">
        <v>401</v>
      </c>
      <c r="B154" s="68" t="s">
        <v>402</v>
      </c>
      <c r="C154" s="68">
        <v>1</v>
      </c>
      <c r="D154">
        <f t="shared" si="7"/>
        <v>0</v>
      </c>
      <c r="H154">
        <f t="shared" si="8"/>
        <v>1</v>
      </c>
      <c r="J154">
        <f t="shared" si="9"/>
        <v>1</v>
      </c>
    </row>
    <row r="155" spans="1:10" x14ac:dyDescent="0.2">
      <c r="A155" s="67" t="s">
        <v>75</v>
      </c>
      <c r="B155" s="68" t="s">
        <v>76</v>
      </c>
      <c r="C155" s="68">
        <v>4063</v>
      </c>
      <c r="D155">
        <f t="shared" si="7"/>
        <v>19</v>
      </c>
      <c r="H155">
        <f t="shared" si="8"/>
        <v>4082</v>
      </c>
      <c r="J155">
        <f t="shared" si="9"/>
        <v>4082</v>
      </c>
    </row>
    <row r="156" spans="1:10" x14ac:dyDescent="0.2">
      <c r="A156" s="67" t="s">
        <v>73</v>
      </c>
      <c r="B156" s="68" t="s">
        <v>74</v>
      </c>
      <c r="C156" s="68">
        <v>3799</v>
      </c>
      <c r="D156">
        <f t="shared" si="7"/>
        <v>22</v>
      </c>
      <c r="H156">
        <f t="shared" si="8"/>
        <v>3821</v>
      </c>
      <c r="J156">
        <f t="shared" si="9"/>
        <v>3821</v>
      </c>
    </row>
    <row r="157" spans="1:10" x14ac:dyDescent="0.2">
      <c r="A157" s="67" t="s">
        <v>107</v>
      </c>
      <c r="B157" s="68" t="s">
        <v>108</v>
      </c>
      <c r="C157" s="68">
        <v>1475</v>
      </c>
      <c r="D157">
        <f t="shared" si="7"/>
        <v>7</v>
      </c>
      <c r="H157">
        <f t="shared" si="8"/>
        <v>1482</v>
      </c>
      <c r="J157">
        <f t="shared" si="9"/>
        <v>1482</v>
      </c>
    </row>
    <row r="158" spans="1:10" x14ac:dyDescent="0.2">
      <c r="A158" s="67" t="s">
        <v>109</v>
      </c>
      <c r="B158" s="68" t="s">
        <v>110</v>
      </c>
      <c r="C158" s="68">
        <v>1166</v>
      </c>
      <c r="D158">
        <f t="shared" si="7"/>
        <v>7</v>
      </c>
      <c r="H158">
        <f t="shared" si="8"/>
        <v>1173</v>
      </c>
      <c r="J158">
        <f t="shared" si="9"/>
        <v>1173</v>
      </c>
    </row>
    <row r="159" spans="1:10" x14ac:dyDescent="0.2">
      <c r="A159" s="67" t="s">
        <v>85</v>
      </c>
      <c r="B159" s="68" t="s">
        <v>86</v>
      </c>
      <c r="C159" s="68">
        <v>787</v>
      </c>
      <c r="D159">
        <f t="shared" si="7"/>
        <v>12</v>
      </c>
      <c r="H159">
        <f t="shared" si="8"/>
        <v>799</v>
      </c>
      <c r="J159">
        <f t="shared" si="9"/>
        <v>799</v>
      </c>
    </row>
    <row r="160" spans="1:10" x14ac:dyDescent="0.2">
      <c r="A160" s="67" t="s">
        <v>95</v>
      </c>
      <c r="B160" s="68" t="s">
        <v>96</v>
      </c>
      <c r="C160" s="68">
        <v>574</v>
      </c>
      <c r="D160">
        <f t="shared" si="7"/>
        <v>8</v>
      </c>
      <c r="H160">
        <f t="shared" si="8"/>
        <v>582</v>
      </c>
      <c r="J160">
        <f t="shared" si="9"/>
        <v>582</v>
      </c>
    </row>
    <row r="161" spans="1:10" x14ac:dyDescent="0.2">
      <c r="A161" s="67" t="s">
        <v>403</v>
      </c>
      <c r="B161" s="68" t="s">
        <v>404</v>
      </c>
      <c r="C161" s="68">
        <v>7</v>
      </c>
      <c r="D161">
        <f t="shared" si="7"/>
        <v>0</v>
      </c>
      <c r="H161">
        <f t="shared" si="8"/>
        <v>7</v>
      </c>
      <c r="J161">
        <f t="shared" si="9"/>
        <v>7</v>
      </c>
    </row>
    <row r="162" spans="1:10" x14ac:dyDescent="0.2">
      <c r="A162" s="67" t="s">
        <v>67</v>
      </c>
      <c r="B162" s="68" t="s">
        <v>68</v>
      </c>
      <c r="C162" s="68">
        <v>11441</v>
      </c>
      <c r="D162">
        <f t="shared" si="7"/>
        <v>29</v>
      </c>
      <c r="H162">
        <f t="shared" si="8"/>
        <v>11470</v>
      </c>
      <c r="J162">
        <f t="shared" si="9"/>
        <v>11470</v>
      </c>
    </row>
    <row r="163" spans="1:10" x14ac:dyDescent="0.2">
      <c r="A163" s="67" t="s">
        <v>69</v>
      </c>
      <c r="B163" s="68" t="s">
        <v>70</v>
      </c>
      <c r="C163" s="68">
        <v>10224</v>
      </c>
      <c r="D163">
        <f t="shared" si="7"/>
        <v>25</v>
      </c>
      <c r="H163">
        <f t="shared" si="8"/>
        <v>10249</v>
      </c>
      <c r="J163">
        <f t="shared" si="9"/>
        <v>10249</v>
      </c>
    </row>
    <row r="164" spans="1:10" x14ac:dyDescent="0.2">
      <c r="A164" s="67" t="s">
        <v>54</v>
      </c>
      <c r="B164" s="68" t="s">
        <v>55</v>
      </c>
      <c r="C164" s="68">
        <v>6661</v>
      </c>
      <c r="D164">
        <f t="shared" si="7"/>
        <v>37</v>
      </c>
      <c r="H164">
        <f t="shared" si="8"/>
        <v>6698</v>
      </c>
      <c r="J164">
        <f t="shared" si="9"/>
        <v>6698</v>
      </c>
    </row>
    <row r="165" spans="1:10" x14ac:dyDescent="0.2">
      <c r="A165" s="67" t="s">
        <v>87</v>
      </c>
      <c r="B165" s="68" t="s">
        <v>88</v>
      </c>
      <c r="C165" s="68">
        <v>5291</v>
      </c>
      <c r="D165">
        <f t="shared" si="7"/>
        <v>12</v>
      </c>
      <c r="H165">
        <f t="shared" si="8"/>
        <v>5303</v>
      </c>
      <c r="J165">
        <f t="shared" si="9"/>
        <v>5303</v>
      </c>
    </row>
    <row r="166" spans="1:10" x14ac:dyDescent="0.2">
      <c r="A166" s="67" t="s">
        <v>65</v>
      </c>
      <c r="B166" s="68" t="s">
        <v>66</v>
      </c>
      <c r="C166" s="68">
        <v>3417</v>
      </c>
      <c r="D166">
        <f t="shared" si="7"/>
        <v>29</v>
      </c>
      <c r="H166">
        <f t="shared" si="8"/>
        <v>3446</v>
      </c>
      <c r="J166">
        <f t="shared" si="9"/>
        <v>3446</v>
      </c>
    </row>
    <row r="167" spans="1:10" x14ac:dyDescent="0.2">
      <c r="A167" s="67" t="s">
        <v>56</v>
      </c>
      <c r="B167" s="68" t="s">
        <v>57</v>
      </c>
      <c r="C167" s="68">
        <v>3520</v>
      </c>
      <c r="D167">
        <f t="shared" si="7"/>
        <v>47</v>
      </c>
      <c r="H167">
        <f t="shared" si="8"/>
        <v>3567</v>
      </c>
      <c r="J167">
        <f t="shared" si="9"/>
        <v>3567</v>
      </c>
    </row>
    <row r="168" spans="1:10" x14ac:dyDescent="0.2">
      <c r="A168" s="67" t="s">
        <v>58</v>
      </c>
      <c r="B168" s="68" t="s">
        <v>59</v>
      </c>
      <c r="C168" s="68">
        <v>2166</v>
      </c>
      <c r="D168">
        <f t="shared" si="7"/>
        <v>44</v>
      </c>
      <c r="H168">
        <f t="shared" si="8"/>
        <v>2210</v>
      </c>
      <c r="J168">
        <f t="shared" si="9"/>
        <v>2210</v>
      </c>
    </row>
    <row r="169" spans="1:10" x14ac:dyDescent="0.2">
      <c r="A169" s="67" t="s">
        <v>62</v>
      </c>
      <c r="B169" s="68" t="s">
        <v>59</v>
      </c>
      <c r="C169" s="68">
        <v>1517</v>
      </c>
      <c r="D169">
        <f t="shared" si="7"/>
        <v>39</v>
      </c>
      <c r="H169">
        <f t="shared" si="8"/>
        <v>1556</v>
      </c>
      <c r="J169">
        <f t="shared" si="9"/>
        <v>1556</v>
      </c>
    </row>
    <row r="170" spans="1:10" x14ac:dyDescent="0.2">
      <c r="A170" s="67" t="s">
        <v>44</v>
      </c>
      <c r="B170" s="68" t="s">
        <v>45</v>
      </c>
      <c r="C170" s="68">
        <v>4606</v>
      </c>
      <c r="D170">
        <f t="shared" si="7"/>
        <v>1798</v>
      </c>
      <c r="H170">
        <f t="shared" si="8"/>
        <v>6404</v>
      </c>
      <c r="J170">
        <f t="shared" si="9"/>
        <v>6404</v>
      </c>
    </row>
    <row r="171" spans="1:10" x14ac:dyDescent="0.2">
      <c r="A171" s="67" t="s">
        <v>52</v>
      </c>
      <c r="B171" s="68" t="s">
        <v>53</v>
      </c>
      <c r="C171" s="68">
        <v>1111</v>
      </c>
      <c r="D171">
        <f t="shared" si="7"/>
        <v>329</v>
      </c>
      <c r="H171">
        <f t="shared" si="8"/>
        <v>1440</v>
      </c>
      <c r="J171">
        <f t="shared" si="9"/>
        <v>1440</v>
      </c>
    </row>
    <row r="172" spans="1:10" x14ac:dyDescent="0.2">
      <c r="A172" s="67" t="s">
        <v>50</v>
      </c>
      <c r="B172" s="68" t="s">
        <v>51</v>
      </c>
      <c r="C172" s="68">
        <v>1059</v>
      </c>
      <c r="D172">
        <f t="shared" si="7"/>
        <v>483</v>
      </c>
      <c r="H172">
        <f t="shared" si="8"/>
        <v>1542</v>
      </c>
      <c r="J172">
        <f t="shared" si="9"/>
        <v>1542</v>
      </c>
    </row>
    <row r="173" spans="1:10" x14ac:dyDescent="0.2">
      <c r="A173" s="67" t="s">
        <v>47</v>
      </c>
      <c r="B173" s="68" t="s">
        <v>48</v>
      </c>
      <c r="C173" s="68">
        <v>162</v>
      </c>
      <c r="D173">
        <f t="shared" si="7"/>
        <v>728</v>
      </c>
      <c r="H173">
        <f t="shared" si="8"/>
        <v>890</v>
      </c>
      <c r="J173">
        <f t="shared" si="9"/>
        <v>890</v>
      </c>
    </row>
    <row r="174" spans="1:10" x14ac:dyDescent="0.2">
      <c r="A174" s="67" t="s">
        <v>405</v>
      </c>
      <c r="B174" s="68" t="s">
        <v>406</v>
      </c>
      <c r="C174" s="68">
        <v>3</v>
      </c>
      <c r="D174">
        <f t="shared" si="7"/>
        <v>0</v>
      </c>
      <c r="H174">
        <f t="shared" si="8"/>
        <v>3</v>
      </c>
      <c r="J174">
        <f t="shared" si="9"/>
        <v>3</v>
      </c>
    </row>
    <row r="175" spans="1:10" x14ac:dyDescent="0.2">
      <c r="A175" s="67" t="s">
        <v>407</v>
      </c>
      <c r="B175" s="68" t="s">
        <v>408</v>
      </c>
      <c r="C175" s="68">
        <v>3</v>
      </c>
      <c r="D175">
        <f t="shared" si="7"/>
        <v>0</v>
      </c>
      <c r="H175">
        <f t="shared" si="8"/>
        <v>3</v>
      </c>
      <c r="J175">
        <f t="shared" si="9"/>
        <v>3</v>
      </c>
    </row>
    <row r="176" spans="1:10" x14ac:dyDescent="0.2">
      <c r="A176" s="67" t="s">
        <v>409</v>
      </c>
      <c r="B176" s="68" t="s">
        <v>410</v>
      </c>
      <c r="C176" s="68">
        <v>3</v>
      </c>
      <c r="D176">
        <f t="shared" si="7"/>
        <v>0</v>
      </c>
      <c r="H176">
        <f t="shared" si="8"/>
        <v>3</v>
      </c>
      <c r="J176">
        <f t="shared" si="9"/>
        <v>3</v>
      </c>
    </row>
    <row r="177" spans="1:10" x14ac:dyDescent="0.2">
      <c r="A177" s="67" t="s">
        <v>411</v>
      </c>
      <c r="B177" s="68" t="s">
        <v>412</v>
      </c>
      <c r="C177" s="68">
        <v>2</v>
      </c>
      <c r="D177">
        <f t="shared" si="7"/>
        <v>0</v>
      </c>
      <c r="H177">
        <f t="shared" si="8"/>
        <v>2</v>
      </c>
      <c r="J177">
        <f t="shared" si="9"/>
        <v>2</v>
      </c>
    </row>
    <row r="178" spans="1:10" x14ac:dyDescent="0.2">
      <c r="A178" s="67" t="s">
        <v>413</v>
      </c>
      <c r="B178" s="68" t="s">
        <v>414</v>
      </c>
      <c r="C178" s="68">
        <v>2</v>
      </c>
      <c r="D178">
        <f t="shared" si="7"/>
        <v>0</v>
      </c>
    </row>
  </sheetData>
  <hyperlinks>
    <hyperlink ref="E4" r:id="rId1" xr:uid="{00000000-0004-0000-0200-000001000000}"/>
    <hyperlink ref="E5" r:id="rId2" xr:uid="{00000000-0004-0000-0200-000003000000}"/>
    <hyperlink ref="E6" r:id="rId3" xr:uid="{00000000-0004-0000-0200-000005000000}"/>
    <hyperlink ref="E7" r:id="rId4" xr:uid="{00000000-0004-0000-0200-000007000000}"/>
    <hyperlink ref="E8" r:id="rId5" xr:uid="{00000000-0004-0000-0200-000009000000}"/>
    <hyperlink ref="E9" r:id="rId6" xr:uid="{00000000-0004-0000-0200-00000B000000}"/>
    <hyperlink ref="E10" r:id="rId7" xr:uid="{00000000-0004-0000-0200-00000D000000}"/>
    <hyperlink ref="E11" r:id="rId8" xr:uid="{00000000-0004-0000-0200-00000F000000}"/>
    <hyperlink ref="E12" r:id="rId9" xr:uid="{00000000-0004-0000-0200-000011000000}"/>
    <hyperlink ref="E13" r:id="rId10" xr:uid="{00000000-0004-0000-0200-000013000000}"/>
    <hyperlink ref="E14" r:id="rId11" xr:uid="{00000000-0004-0000-0200-000015000000}"/>
    <hyperlink ref="E15" r:id="rId12" xr:uid="{00000000-0004-0000-0200-000017000000}"/>
    <hyperlink ref="E16" r:id="rId13" xr:uid="{00000000-0004-0000-0200-000019000000}"/>
    <hyperlink ref="E17" r:id="rId14" xr:uid="{00000000-0004-0000-0200-00001B000000}"/>
    <hyperlink ref="E18" r:id="rId15" xr:uid="{00000000-0004-0000-0200-00001D000000}"/>
    <hyperlink ref="E19" r:id="rId16" xr:uid="{00000000-0004-0000-0200-00001F000000}"/>
    <hyperlink ref="E20" r:id="rId17" xr:uid="{00000000-0004-0000-0200-000021000000}"/>
    <hyperlink ref="E21" r:id="rId18" xr:uid="{00000000-0004-0000-0200-000023000000}"/>
    <hyperlink ref="E22" r:id="rId19" xr:uid="{00000000-0004-0000-0200-000025000000}"/>
    <hyperlink ref="E23" r:id="rId20" xr:uid="{00000000-0004-0000-0200-000027000000}"/>
    <hyperlink ref="E24" r:id="rId21" xr:uid="{00000000-0004-0000-0200-000028000000}"/>
    <hyperlink ref="E25" r:id="rId22" xr:uid="{00000000-0004-0000-0200-000029000000}"/>
    <hyperlink ref="E26" r:id="rId23" xr:uid="{00000000-0004-0000-0200-00002A000000}"/>
    <hyperlink ref="E27" r:id="rId24" xr:uid="{00000000-0004-0000-0200-00002B000000}"/>
    <hyperlink ref="E28" r:id="rId25" xr:uid="{00000000-0004-0000-0200-00002C000000}"/>
    <hyperlink ref="E29" r:id="rId26" xr:uid="{00000000-0004-0000-0200-00002D000000}"/>
    <hyperlink ref="E30" r:id="rId27" xr:uid="{00000000-0004-0000-0200-00002E000000}"/>
    <hyperlink ref="E31" r:id="rId28" xr:uid="{00000000-0004-0000-0200-00002F000000}"/>
    <hyperlink ref="E32" r:id="rId29" xr:uid="{00000000-0004-0000-0200-000030000000}"/>
    <hyperlink ref="E33" r:id="rId30" xr:uid="{00000000-0004-0000-0200-000031000000}"/>
    <hyperlink ref="E34" r:id="rId31" xr:uid="{00000000-0004-0000-0200-000032000000}"/>
    <hyperlink ref="E35" r:id="rId32" xr:uid="{00000000-0004-0000-0200-000033000000}"/>
    <hyperlink ref="E36" r:id="rId33" xr:uid="{00000000-0004-0000-0200-000034000000}"/>
    <hyperlink ref="E37" r:id="rId34" xr:uid="{00000000-0004-0000-0200-000035000000}"/>
    <hyperlink ref="E38" r:id="rId35" xr:uid="{00000000-0004-0000-0200-000036000000}"/>
    <hyperlink ref="E39" r:id="rId36" xr:uid="{00000000-0004-0000-0200-000037000000}"/>
    <hyperlink ref="E40" r:id="rId37" xr:uid="{00000000-0004-0000-0200-000038000000}"/>
    <hyperlink ref="E41" r:id="rId38" xr:uid="{00000000-0004-0000-0200-000039000000}"/>
    <hyperlink ref="E42" r:id="rId39" xr:uid="{00000000-0004-0000-0200-00003A000000}"/>
    <hyperlink ref="E43" r:id="rId40" xr:uid="{00000000-0004-0000-0200-00003B000000}"/>
    <hyperlink ref="E44" r:id="rId41" xr:uid="{00000000-0004-0000-0200-00003C000000}"/>
    <hyperlink ref="E45" r:id="rId42" xr:uid="{00000000-0004-0000-0200-00003D000000}"/>
    <hyperlink ref="E46" r:id="rId43" xr:uid="{00000000-0004-0000-0200-00003E000000}"/>
    <hyperlink ref="E47" r:id="rId44" xr:uid="{00000000-0004-0000-0200-00003F000000}"/>
    <hyperlink ref="E48" r:id="rId45" xr:uid="{00000000-0004-0000-0200-000040000000}"/>
    <hyperlink ref="E49" r:id="rId46" xr:uid="{00000000-0004-0000-0200-000041000000}"/>
    <hyperlink ref="E50" r:id="rId47" xr:uid="{00000000-0004-0000-0200-000042000000}"/>
    <hyperlink ref="E51" r:id="rId48" xr:uid="{00000000-0004-0000-0200-000043000000}"/>
    <hyperlink ref="E52" r:id="rId49" xr:uid="{00000000-0004-0000-0200-000044000000}"/>
    <hyperlink ref="E53" r:id="rId50" xr:uid="{00000000-0004-0000-0200-000045000000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E9A4-1988-9549-B520-F3A07E542CE6}">
  <dimension ref="A1:G50"/>
  <sheetViews>
    <sheetView workbookViewId="0">
      <selection sqref="A1:C50"/>
    </sheetView>
  </sheetViews>
  <sheetFormatPr baseColWidth="10" defaultRowHeight="15" x14ac:dyDescent="0.2"/>
  <sheetData>
    <row r="1" spans="1:7" x14ac:dyDescent="0.2">
      <c r="A1" t="s">
        <v>31</v>
      </c>
      <c r="B1" t="s">
        <v>32</v>
      </c>
      <c r="C1" t="s">
        <v>2</v>
      </c>
      <c r="E1" t="s">
        <v>31</v>
      </c>
      <c r="F1" t="s">
        <v>32</v>
      </c>
      <c r="G1" t="s">
        <v>2</v>
      </c>
    </row>
    <row r="2" spans="1:7" x14ac:dyDescent="0.2">
      <c r="A2" t="s">
        <v>33</v>
      </c>
      <c r="B2" t="s">
        <v>17</v>
      </c>
      <c r="C2">
        <v>12953</v>
      </c>
      <c r="E2" t="str">
        <f>A2&amp;"/"</f>
        <v>https://www.linkedin.com/feed/update/urn:li:activity:7422364562756288512/</v>
      </c>
      <c r="F2" t="s">
        <v>17</v>
      </c>
      <c r="G2">
        <v>12953</v>
      </c>
    </row>
    <row r="3" spans="1:7" x14ac:dyDescent="0.2">
      <c r="A3" t="s">
        <v>34</v>
      </c>
      <c r="B3" t="s">
        <v>12</v>
      </c>
      <c r="C3">
        <v>8411</v>
      </c>
      <c r="E3" t="str">
        <f t="shared" ref="E3:E50" si="0">A3&amp;"/"</f>
        <v>https://www.linkedin.com/feed/update/urn:li:activity:7420422539941834753/</v>
      </c>
      <c r="F3" t="s">
        <v>12</v>
      </c>
      <c r="G3">
        <v>8411</v>
      </c>
    </row>
    <row r="4" spans="1:7" x14ac:dyDescent="0.2">
      <c r="A4" t="s">
        <v>35</v>
      </c>
      <c r="B4" t="s">
        <v>18</v>
      </c>
      <c r="C4">
        <v>6204</v>
      </c>
      <c r="E4" t="str">
        <f t="shared" si="0"/>
        <v>https://www.linkedin.com/feed/update/urn:li:activity:7422774235837882368/</v>
      </c>
      <c r="F4" t="s">
        <v>18</v>
      </c>
      <c r="G4">
        <v>6204</v>
      </c>
    </row>
    <row r="5" spans="1:7" x14ac:dyDescent="0.2">
      <c r="A5" t="s">
        <v>37</v>
      </c>
      <c r="B5" t="s">
        <v>21</v>
      </c>
      <c r="C5">
        <v>4372</v>
      </c>
      <c r="E5" t="str">
        <f t="shared" si="0"/>
        <v>https://www.linkedin.com/feed/update/urn:li:activity:7423736066450300928/</v>
      </c>
      <c r="F5" t="s">
        <v>21</v>
      </c>
      <c r="G5">
        <v>4372</v>
      </c>
    </row>
    <row r="6" spans="1:7" x14ac:dyDescent="0.2">
      <c r="A6" t="s">
        <v>38</v>
      </c>
      <c r="B6" t="s">
        <v>15</v>
      </c>
      <c r="C6">
        <v>3936</v>
      </c>
      <c r="E6" t="str">
        <f t="shared" si="0"/>
        <v>https://www.linkedin.com/feed/update/urn:li:activity:7421500916853288960/</v>
      </c>
      <c r="F6" t="s">
        <v>15</v>
      </c>
      <c r="G6">
        <v>3936</v>
      </c>
    </row>
    <row r="7" spans="1:7" x14ac:dyDescent="0.2">
      <c r="A7" t="s">
        <v>36</v>
      </c>
      <c r="B7" t="s">
        <v>26</v>
      </c>
      <c r="C7">
        <v>3764</v>
      </c>
      <c r="E7" t="str">
        <f t="shared" si="0"/>
        <v>https://www.linkedin.com/feed/update/urn:li:activity:7425459284324319232/</v>
      </c>
      <c r="F7" t="s">
        <v>26</v>
      </c>
      <c r="G7">
        <v>3764</v>
      </c>
    </row>
    <row r="8" spans="1:7" x14ac:dyDescent="0.2">
      <c r="A8" t="s">
        <v>41</v>
      </c>
      <c r="B8" t="s">
        <v>19</v>
      </c>
      <c r="C8">
        <v>3451</v>
      </c>
      <c r="E8" t="str">
        <f t="shared" si="0"/>
        <v>https://www.linkedin.com/feed/update/urn:li:activity:7422923544487055360/</v>
      </c>
      <c r="F8" t="s">
        <v>19</v>
      </c>
      <c r="G8">
        <v>3451</v>
      </c>
    </row>
    <row r="9" spans="1:7" x14ac:dyDescent="0.2">
      <c r="A9" t="s">
        <v>40</v>
      </c>
      <c r="B9" t="s">
        <v>23</v>
      </c>
      <c r="C9">
        <v>3018</v>
      </c>
      <c r="E9" t="str">
        <f t="shared" si="0"/>
        <v>https://www.linkedin.com/feed/update/urn:li:activity:7424369664467660800/</v>
      </c>
      <c r="F9" t="s">
        <v>23</v>
      </c>
      <c r="G9">
        <v>3018</v>
      </c>
    </row>
    <row r="10" spans="1:7" x14ac:dyDescent="0.2">
      <c r="A10" t="s">
        <v>39</v>
      </c>
      <c r="B10" t="s">
        <v>22</v>
      </c>
      <c r="C10">
        <v>2729</v>
      </c>
      <c r="E10" t="str">
        <f t="shared" si="0"/>
        <v>https://www.linkedin.com/feed/update/urn:li:activity:7424054497959661568/</v>
      </c>
      <c r="F10" t="s">
        <v>22</v>
      </c>
      <c r="G10">
        <v>2729</v>
      </c>
    </row>
    <row r="11" spans="1:7" x14ac:dyDescent="0.2">
      <c r="A11" t="s">
        <v>42</v>
      </c>
      <c r="B11" t="s">
        <v>16</v>
      </c>
      <c r="C11">
        <v>2685</v>
      </c>
      <c r="E11" t="str">
        <f t="shared" si="0"/>
        <v>https://www.linkedin.com/feed/update/urn:li:activity:7421838251558170625/</v>
      </c>
      <c r="F11" t="s">
        <v>16</v>
      </c>
      <c r="G11">
        <v>2685</v>
      </c>
    </row>
    <row r="12" spans="1:7" x14ac:dyDescent="0.2">
      <c r="A12" t="s">
        <v>43</v>
      </c>
      <c r="B12" t="s">
        <v>8</v>
      </c>
      <c r="C12">
        <v>2567</v>
      </c>
      <c r="E12" t="str">
        <f t="shared" si="0"/>
        <v>https://www.linkedin.com/feed/update/urn:li:activity:7418952594917613568/</v>
      </c>
      <c r="F12" t="s">
        <v>8</v>
      </c>
      <c r="G12">
        <v>2567</v>
      </c>
    </row>
    <row r="13" spans="1:7" x14ac:dyDescent="0.2">
      <c r="A13" t="s">
        <v>46</v>
      </c>
      <c r="B13" t="s">
        <v>29</v>
      </c>
      <c r="C13">
        <v>734</v>
      </c>
      <c r="E13" t="str">
        <f t="shared" si="0"/>
        <v>https://www.linkedin.com/feed/update/urn:li:activity:7426566495159226368/</v>
      </c>
      <c r="F13" t="s">
        <v>29</v>
      </c>
      <c r="G13">
        <v>734</v>
      </c>
    </row>
    <row r="14" spans="1:7" x14ac:dyDescent="0.2">
      <c r="A14" t="s">
        <v>49</v>
      </c>
      <c r="B14" t="s">
        <v>25</v>
      </c>
      <c r="C14">
        <v>143</v>
      </c>
      <c r="E14" t="str">
        <f t="shared" si="0"/>
        <v>https://www.linkedin.com/feed/update/urn:li:activity:7425146854830473216/</v>
      </c>
      <c r="F14" t="s">
        <v>25</v>
      </c>
      <c r="G14">
        <v>143</v>
      </c>
    </row>
    <row r="15" spans="1:7" x14ac:dyDescent="0.2">
      <c r="A15" t="s">
        <v>97</v>
      </c>
      <c r="B15" t="s">
        <v>98</v>
      </c>
      <c r="C15">
        <v>6178</v>
      </c>
      <c r="E15" t="str">
        <f t="shared" si="0"/>
        <v>https://www.linkedin.com/feed/update/urn:li:activity:7320785671357423616/</v>
      </c>
      <c r="F15" t="s">
        <v>98</v>
      </c>
      <c r="G15">
        <v>6178</v>
      </c>
    </row>
    <row r="16" spans="1:7" x14ac:dyDescent="0.2">
      <c r="A16" t="s">
        <v>63</v>
      </c>
      <c r="B16" t="s">
        <v>64</v>
      </c>
      <c r="C16">
        <v>6433</v>
      </c>
      <c r="E16" t="str">
        <f t="shared" si="0"/>
        <v>https://www.linkedin.com/feed/update/urn:li:activity:7329043662779084800/</v>
      </c>
      <c r="F16" t="s">
        <v>64</v>
      </c>
      <c r="G16">
        <v>6433</v>
      </c>
    </row>
    <row r="17" spans="1:7" x14ac:dyDescent="0.2">
      <c r="A17" t="s">
        <v>83</v>
      </c>
      <c r="B17" t="s">
        <v>84</v>
      </c>
      <c r="C17">
        <v>3490</v>
      </c>
      <c r="E17" t="str">
        <f t="shared" si="0"/>
        <v>https://www.linkedin.com/feed/update/urn:li:activity:7330228302336397313/</v>
      </c>
      <c r="F17" t="s">
        <v>84</v>
      </c>
      <c r="G17">
        <v>3490</v>
      </c>
    </row>
    <row r="18" spans="1:7" x14ac:dyDescent="0.2">
      <c r="A18" t="s">
        <v>113</v>
      </c>
      <c r="B18" t="s">
        <v>114</v>
      </c>
      <c r="C18">
        <v>1631</v>
      </c>
      <c r="E18" t="str">
        <f t="shared" si="0"/>
        <v>https://www.linkedin.com/feed/update/urn:li:activity:7333394603380793345/</v>
      </c>
      <c r="F18" t="s">
        <v>114</v>
      </c>
      <c r="G18">
        <v>1631</v>
      </c>
    </row>
    <row r="19" spans="1:7" x14ac:dyDescent="0.2">
      <c r="A19" t="s">
        <v>79</v>
      </c>
      <c r="B19" t="s">
        <v>80</v>
      </c>
      <c r="C19">
        <v>6664</v>
      </c>
      <c r="E19" t="str">
        <f t="shared" si="0"/>
        <v>https://www.linkedin.com/feed/update/urn:li:activity:7341127647604690946/</v>
      </c>
      <c r="F19" t="s">
        <v>80</v>
      </c>
      <c r="G19">
        <v>6664</v>
      </c>
    </row>
    <row r="20" spans="1:7" x14ac:dyDescent="0.2">
      <c r="A20" t="s">
        <v>77</v>
      </c>
      <c r="B20" t="s">
        <v>78</v>
      </c>
      <c r="C20">
        <v>10115</v>
      </c>
      <c r="E20" t="str">
        <f t="shared" si="0"/>
        <v>https://www.linkedin.com/feed/update/urn:li:activity:7348815874650198018/</v>
      </c>
      <c r="F20" t="s">
        <v>78</v>
      </c>
      <c r="G20">
        <v>10115</v>
      </c>
    </row>
    <row r="21" spans="1:7" x14ac:dyDescent="0.2">
      <c r="A21" t="s">
        <v>111</v>
      </c>
      <c r="B21" t="s">
        <v>112</v>
      </c>
      <c r="C21">
        <v>837</v>
      </c>
      <c r="E21" t="str">
        <f t="shared" si="0"/>
        <v>https://www.linkedin.com/feed/update/urn:li:activity:7351525522067054592/</v>
      </c>
      <c r="F21" t="s">
        <v>112</v>
      </c>
      <c r="G21">
        <v>837</v>
      </c>
    </row>
    <row r="22" spans="1:7" x14ac:dyDescent="0.2">
      <c r="A22" t="s">
        <v>115</v>
      </c>
      <c r="B22" t="s">
        <v>116</v>
      </c>
      <c r="C22">
        <v>771</v>
      </c>
      <c r="E22" t="str">
        <f t="shared" si="0"/>
        <v>https://www.linkedin.com/feed/update/urn:li:activity:7353808870223355907/</v>
      </c>
      <c r="F22" t="s">
        <v>116</v>
      </c>
      <c r="G22">
        <v>771</v>
      </c>
    </row>
    <row r="23" spans="1:7" x14ac:dyDescent="0.2">
      <c r="A23" t="s">
        <v>101</v>
      </c>
      <c r="B23" t="s">
        <v>102</v>
      </c>
      <c r="C23">
        <v>856</v>
      </c>
      <c r="E23" t="str">
        <f t="shared" si="0"/>
        <v>https://www.linkedin.com/feed/update/urn:li:activity:7353068817058578432/</v>
      </c>
      <c r="F23" t="s">
        <v>102</v>
      </c>
      <c r="G23">
        <v>856</v>
      </c>
    </row>
    <row r="24" spans="1:7" x14ac:dyDescent="0.2">
      <c r="A24" t="s">
        <v>71</v>
      </c>
      <c r="B24" t="s">
        <v>72</v>
      </c>
      <c r="C24">
        <v>6291</v>
      </c>
      <c r="E24" t="str">
        <f t="shared" si="0"/>
        <v>https://www.linkedin.com/feed/update/urn:li:activity:7367237163127635968/</v>
      </c>
      <c r="F24" t="s">
        <v>72</v>
      </c>
      <c r="G24">
        <v>6291</v>
      </c>
    </row>
    <row r="25" spans="1:7" x14ac:dyDescent="0.2">
      <c r="A25" t="s">
        <v>93</v>
      </c>
      <c r="B25" t="s">
        <v>94</v>
      </c>
      <c r="C25">
        <v>3263</v>
      </c>
      <c r="E25" t="str">
        <f t="shared" si="0"/>
        <v>https://www.linkedin.com/feed/update/urn:li:activity:7361877522877206529/</v>
      </c>
      <c r="F25" t="s">
        <v>94</v>
      </c>
      <c r="G25">
        <v>3263</v>
      </c>
    </row>
    <row r="26" spans="1:7" x14ac:dyDescent="0.2">
      <c r="A26" t="s">
        <v>105</v>
      </c>
      <c r="B26" t="s">
        <v>106</v>
      </c>
      <c r="C26">
        <v>781</v>
      </c>
      <c r="E26" t="str">
        <f t="shared" si="0"/>
        <v>https://www.linkedin.com/feed/update/urn:li:activity:7373285880242786308/</v>
      </c>
      <c r="F26" t="s">
        <v>106</v>
      </c>
      <c r="G26">
        <v>781</v>
      </c>
    </row>
    <row r="27" spans="1:7" x14ac:dyDescent="0.2">
      <c r="A27" t="s">
        <v>117</v>
      </c>
      <c r="B27" t="s">
        <v>118</v>
      </c>
      <c r="C27">
        <v>765</v>
      </c>
      <c r="E27" t="str">
        <f t="shared" si="0"/>
        <v>https://www.linkedin.com/feed/update/urn:li:activity:7373601539036442624/</v>
      </c>
      <c r="F27" t="s">
        <v>118</v>
      </c>
      <c r="G27">
        <v>765</v>
      </c>
    </row>
    <row r="28" spans="1:7" x14ac:dyDescent="0.2">
      <c r="A28" t="s">
        <v>89</v>
      </c>
      <c r="B28" t="s">
        <v>90</v>
      </c>
      <c r="C28">
        <v>11929</v>
      </c>
      <c r="E28" t="str">
        <f t="shared" si="0"/>
        <v>https://www.linkedin.com/feed/update/urn:li:activity:7379798873013239808/</v>
      </c>
      <c r="F28" t="s">
        <v>90</v>
      </c>
      <c r="G28">
        <v>11929</v>
      </c>
    </row>
    <row r="29" spans="1:7" x14ac:dyDescent="0.2">
      <c r="A29" t="s">
        <v>81</v>
      </c>
      <c r="B29" t="s">
        <v>82</v>
      </c>
      <c r="C29">
        <v>8615</v>
      </c>
      <c r="E29" t="str">
        <f t="shared" si="0"/>
        <v>https://www.linkedin.com/feed/update/urn:li:activity:7386862136712675328/</v>
      </c>
      <c r="F29" t="s">
        <v>82</v>
      </c>
      <c r="G29">
        <v>8615</v>
      </c>
    </row>
    <row r="30" spans="1:7" x14ac:dyDescent="0.2">
      <c r="A30" t="s">
        <v>91</v>
      </c>
      <c r="B30" t="s">
        <v>92</v>
      </c>
      <c r="C30">
        <v>2900</v>
      </c>
      <c r="E30" t="str">
        <f t="shared" si="0"/>
        <v>https://www.linkedin.com/feed/update/urn:li:activity:7381392068423680000/</v>
      </c>
      <c r="F30" t="s">
        <v>92</v>
      </c>
      <c r="G30">
        <v>2900</v>
      </c>
    </row>
    <row r="31" spans="1:7" x14ac:dyDescent="0.2">
      <c r="A31" t="s">
        <v>99</v>
      </c>
      <c r="B31" t="s">
        <v>100</v>
      </c>
      <c r="C31">
        <v>2681</v>
      </c>
      <c r="E31" t="str">
        <f t="shared" si="0"/>
        <v>https://www.linkedin.com/feed/update/urn:li:activity:7382477204686917632/</v>
      </c>
      <c r="F31" t="s">
        <v>100</v>
      </c>
      <c r="G31">
        <v>2681</v>
      </c>
    </row>
    <row r="32" spans="1:7" x14ac:dyDescent="0.2">
      <c r="A32" t="s">
        <v>103</v>
      </c>
      <c r="B32" t="s">
        <v>104</v>
      </c>
      <c r="C32">
        <v>1149</v>
      </c>
      <c r="E32" t="str">
        <f t="shared" si="0"/>
        <v>https://www.linkedin.com/feed/update/urn:li:activity:7383401607842910208/</v>
      </c>
      <c r="F32" t="s">
        <v>104</v>
      </c>
      <c r="G32">
        <v>1149</v>
      </c>
    </row>
    <row r="33" spans="1:7" x14ac:dyDescent="0.2">
      <c r="A33" t="s">
        <v>75</v>
      </c>
      <c r="B33" t="s">
        <v>76</v>
      </c>
      <c r="C33">
        <v>4082</v>
      </c>
      <c r="E33" t="str">
        <f t="shared" si="0"/>
        <v>https://www.linkedin.com/feed/update/urn:li:activity:7394095727116705792/</v>
      </c>
      <c r="F33" t="s">
        <v>76</v>
      </c>
      <c r="G33">
        <v>4082</v>
      </c>
    </row>
    <row r="34" spans="1:7" x14ac:dyDescent="0.2">
      <c r="A34" t="s">
        <v>73</v>
      </c>
      <c r="B34" t="s">
        <v>74</v>
      </c>
      <c r="C34">
        <v>3821</v>
      </c>
      <c r="E34" t="str">
        <f t="shared" si="0"/>
        <v>https://www.linkedin.com/feed/update/urn:li:activity:7396880057752887296/</v>
      </c>
      <c r="F34" t="s">
        <v>74</v>
      </c>
      <c r="G34">
        <v>3821</v>
      </c>
    </row>
    <row r="35" spans="1:7" x14ac:dyDescent="0.2">
      <c r="A35" t="s">
        <v>107</v>
      </c>
      <c r="B35" t="s">
        <v>108</v>
      </c>
      <c r="C35">
        <v>1482</v>
      </c>
      <c r="E35" t="str">
        <f t="shared" si="0"/>
        <v>https://www.linkedin.com/feed/update/urn:li:activity:7391456154234826752/</v>
      </c>
      <c r="F35" t="s">
        <v>108</v>
      </c>
      <c r="G35">
        <v>1482</v>
      </c>
    </row>
    <row r="36" spans="1:7" x14ac:dyDescent="0.2">
      <c r="A36" t="s">
        <v>109</v>
      </c>
      <c r="B36" t="s">
        <v>110</v>
      </c>
      <c r="C36">
        <v>1173</v>
      </c>
      <c r="E36" t="str">
        <f t="shared" si="0"/>
        <v>https://www.linkedin.com/feed/update/urn:li:activity:7391128818809409536/</v>
      </c>
      <c r="F36" t="s">
        <v>110</v>
      </c>
      <c r="G36">
        <v>1173</v>
      </c>
    </row>
    <row r="37" spans="1:7" x14ac:dyDescent="0.2">
      <c r="A37" t="s">
        <v>85</v>
      </c>
      <c r="B37" t="s">
        <v>86</v>
      </c>
      <c r="C37">
        <v>799</v>
      </c>
      <c r="E37" t="str">
        <f t="shared" si="0"/>
        <v>https://www.linkedin.com/feed/update/urn:li:activity:7396105895014993920/</v>
      </c>
      <c r="F37" t="s">
        <v>86</v>
      </c>
      <c r="G37">
        <v>799</v>
      </c>
    </row>
    <row r="38" spans="1:7" x14ac:dyDescent="0.2">
      <c r="A38" t="s">
        <v>95</v>
      </c>
      <c r="B38" t="s">
        <v>96</v>
      </c>
      <c r="C38">
        <v>582</v>
      </c>
      <c r="E38" t="str">
        <f t="shared" si="0"/>
        <v>https://www.linkedin.com/feed/update/urn:li:activity:7392130153608478720/</v>
      </c>
      <c r="F38" t="s">
        <v>96</v>
      </c>
      <c r="G38">
        <v>582</v>
      </c>
    </row>
    <row r="39" spans="1:7" x14ac:dyDescent="0.2">
      <c r="A39" t="s">
        <v>67</v>
      </c>
      <c r="B39" t="s">
        <v>68</v>
      </c>
      <c r="C39">
        <v>11470</v>
      </c>
      <c r="E39" t="str">
        <f t="shared" si="0"/>
        <v>https://www.linkedin.com/feed/update/urn:li:activity:7406304172867743744/</v>
      </c>
      <c r="F39" t="s">
        <v>68</v>
      </c>
      <c r="G39">
        <v>11470</v>
      </c>
    </row>
    <row r="40" spans="1:7" x14ac:dyDescent="0.2">
      <c r="A40" t="s">
        <v>69</v>
      </c>
      <c r="B40" t="s">
        <v>70</v>
      </c>
      <c r="C40">
        <v>10249</v>
      </c>
      <c r="E40" t="str">
        <f t="shared" si="0"/>
        <v>https://www.linkedin.com/feed/update/urn:li:activity:7407744163548512257/</v>
      </c>
      <c r="F40" t="s">
        <v>70</v>
      </c>
      <c r="G40">
        <v>10249</v>
      </c>
    </row>
    <row r="41" spans="1:7" x14ac:dyDescent="0.2">
      <c r="A41" t="s">
        <v>54</v>
      </c>
      <c r="B41" t="s">
        <v>55</v>
      </c>
      <c r="C41">
        <v>6698</v>
      </c>
      <c r="E41" t="str">
        <f t="shared" si="0"/>
        <v>https://www.linkedin.com/feed/update/urn:li:activity:7407043077183262720/</v>
      </c>
      <c r="F41" t="s">
        <v>55</v>
      </c>
      <c r="G41">
        <v>6698</v>
      </c>
    </row>
    <row r="42" spans="1:7" x14ac:dyDescent="0.2">
      <c r="A42" t="s">
        <v>87</v>
      </c>
      <c r="B42" t="s">
        <v>88</v>
      </c>
      <c r="C42">
        <v>5303</v>
      </c>
      <c r="E42" t="str">
        <f t="shared" si="0"/>
        <v>https://www.linkedin.com/feed/update/urn:li:activity:7404869759596388352/</v>
      </c>
      <c r="F42" t="s">
        <v>88</v>
      </c>
      <c r="G42">
        <v>5303</v>
      </c>
    </row>
    <row r="43" spans="1:7" x14ac:dyDescent="0.2">
      <c r="A43" t="s">
        <v>65</v>
      </c>
      <c r="B43" t="s">
        <v>66</v>
      </c>
      <c r="C43">
        <v>3446</v>
      </c>
      <c r="E43" t="str">
        <f t="shared" si="0"/>
        <v>https://www.linkedin.com/feed/update/urn:li:activity:7405184685728796672/</v>
      </c>
      <c r="F43" t="s">
        <v>66</v>
      </c>
      <c r="G43">
        <v>3446</v>
      </c>
    </row>
    <row r="44" spans="1:7" x14ac:dyDescent="0.2">
      <c r="A44" t="s">
        <v>56</v>
      </c>
      <c r="B44" t="s">
        <v>57</v>
      </c>
      <c r="C44">
        <v>3567</v>
      </c>
      <c r="E44" t="str">
        <f t="shared" si="0"/>
        <v>https://www.linkedin.com/feed/update/urn:li:activity:7406671506350637057/</v>
      </c>
      <c r="F44" t="s">
        <v>57</v>
      </c>
      <c r="G44">
        <v>3567</v>
      </c>
    </row>
    <row r="45" spans="1:7" x14ac:dyDescent="0.2">
      <c r="A45" t="s">
        <v>58</v>
      </c>
      <c r="B45" t="s">
        <v>59</v>
      </c>
      <c r="C45">
        <v>2210</v>
      </c>
      <c r="E45" t="str">
        <f t="shared" si="0"/>
        <v>https://www.linkedin.com/feed/update/urn:li:activity:7409343831193657344/</v>
      </c>
      <c r="F45" t="s">
        <v>59</v>
      </c>
      <c r="G45">
        <v>2210</v>
      </c>
    </row>
    <row r="46" spans="1:7" x14ac:dyDescent="0.2">
      <c r="A46" t="s">
        <v>62</v>
      </c>
      <c r="B46" t="s">
        <v>59</v>
      </c>
      <c r="C46">
        <v>1556</v>
      </c>
      <c r="E46" t="str">
        <f t="shared" si="0"/>
        <v>https://www.linkedin.com/feed/update/urn:li:activity:7409153529006936064/</v>
      </c>
      <c r="F46" t="s">
        <v>59</v>
      </c>
      <c r="G46">
        <v>1556</v>
      </c>
    </row>
    <row r="47" spans="1:7" x14ac:dyDescent="0.2">
      <c r="A47" t="s">
        <v>44</v>
      </c>
      <c r="B47" t="s">
        <v>45</v>
      </c>
      <c r="C47">
        <v>6404</v>
      </c>
      <c r="E47" t="str">
        <f t="shared" si="0"/>
        <v>https://www.linkedin.com/feed/update/urn:li:activity:7416828278642196480/</v>
      </c>
      <c r="F47" t="s">
        <v>45</v>
      </c>
      <c r="G47">
        <v>6404</v>
      </c>
    </row>
    <row r="48" spans="1:7" x14ac:dyDescent="0.2">
      <c r="A48" t="s">
        <v>52</v>
      </c>
      <c r="B48" t="s">
        <v>53</v>
      </c>
      <c r="C48">
        <v>1440</v>
      </c>
      <c r="E48" t="str">
        <f t="shared" si="0"/>
        <v>https://www.linkedin.com/feed/update/urn:li:activity:7417127183514763264/</v>
      </c>
      <c r="F48" t="s">
        <v>53</v>
      </c>
      <c r="G48">
        <v>1440</v>
      </c>
    </row>
    <row r="49" spans="1:7" x14ac:dyDescent="0.2">
      <c r="A49" t="s">
        <v>50</v>
      </c>
      <c r="B49" t="s">
        <v>51</v>
      </c>
      <c r="C49">
        <v>1542</v>
      </c>
      <c r="E49" t="str">
        <f t="shared" si="0"/>
        <v>https://www.linkedin.com/feed/update/urn:li:activity:7417530930526998530/</v>
      </c>
      <c r="F49" t="s">
        <v>51</v>
      </c>
      <c r="G49">
        <v>1542</v>
      </c>
    </row>
    <row r="50" spans="1:7" x14ac:dyDescent="0.2">
      <c r="A50" t="s">
        <v>47</v>
      </c>
      <c r="B50" t="s">
        <v>48</v>
      </c>
      <c r="C50">
        <v>890</v>
      </c>
      <c r="E50" t="str">
        <f t="shared" si="0"/>
        <v>https://www.linkedin.com/feed/update/urn:li:activity:7417875631364825088/</v>
      </c>
      <c r="F50" t="s">
        <v>48</v>
      </c>
      <c r="G50">
        <v>890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8C01-3679-F24B-9A28-F86DF368DD18}">
  <dimension ref="A1:C50"/>
  <sheetViews>
    <sheetView tabSelected="1" workbookViewId="0">
      <selection activeCell="L18" sqref="L18"/>
    </sheetView>
  </sheetViews>
  <sheetFormatPr baseColWidth="10" defaultRowHeight="15" x14ac:dyDescent="0.2"/>
  <sheetData>
    <row r="1" spans="1:3" x14ac:dyDescent="0.2">
      <c r="A1" t="s">
        <v>31</v>
      </c>
      <c r="B1" t="s">
        <v>32</v>
      </c>
      <c r="C1" t="s">
        <v>2</v>
      </c>
    </row>
    <row r="2" spans="1:3" x14ac:dyDescent="0.2">
      <c r="A2" t="s">
        <v>415</v>
      </c>
      <c r="B2" t="s">
        <v>17</v>
      </c>
      <c r="C2">
        <v>12953</v>
      </c>
    </row>
    <row r="3" spans="1:3" x14ac:dyDescent="0.2">
      <c r="A3" t="s">
        <v>416</v>
      </c>
      <c r="B3" t="s">
        <v>12</v>
      </c>
      <c r="C3">
        <v>8411</v>
      </c>
    </row>
    <row r="4" spans="1:3" x14ac:dyDescent="0.2">
      <c r="A4" t="s">
        <v>417</v>
      </c>
      <c r="B4" t="s">
        <v>18</v>
      </c>
      <c r="C4">
        <v>6204</v>
      </c>
    </row>
    <row r="5" spans="1:3" x14ac:dyDescent="0.2">
      <c r="A5" t="s">
        <v>418</v>
      </c>
      <c r="B5" t="s">
        <v>21</v>
      </c>
      <c r="C5">
        <v>4372</v>
      </c>
    </row>
    <row r="6" spans="1:3" x14ac:dyDescent="0.2">
      <c r="A6" t="s">
        <v>419</v>
      </c>
      <c r="B6" t="s">
        <v>15</v>
      </c>
      <c r="C6">
        <v>3936</v>
      </c>
    </row>
    <row r="7" spans="1:3" x14ac:dyDescent="0.2">
      <c r="A7" t="s">
        <v>420</v>
      </c>
      <c r="B7" t="s">
        <v>26</v>
      </c>
      <c r="C7">
        <v>3764</v>
      </c>
    </row>
    <row r="8" spans="1:3" x14ac:dyDescent="0.2">
      <c r="A8" t="s">
        <v>421</v>
      </c>
      <c r="B8" t="s">
        <v>19</v>
      </c>
      <c r="C8">
        <v>3451</v>
      </c>
    </row>
    <row r="9" spans="1:3" x14ac:dyDescent="0.2">
      <c r="A9" t="s">
        <v>422</v>
      </c>
      <c r="B9" t="s">
        <v>23</v>
      </c>
      <c r="C9">
        <v>3018</v>
      </c>
    </row>
    <row r="10" spans="1:3" x14ac:dyDescent="0.2">
      <c r="A10" t="s">
        <v>423</v>
      </c>
      <c r="B10" t="s">
        <v>22</v>
      </c>
      <c r="C10">
        <v>2729</v>
      </c>
    </row>
    <row r="11" spans="1:3" x14ac:dyDescent="0.2">
      <c r="A11" t="s">
        <v>424</v>
      </c>
      <c r="B11" t="s">
        <v>16</v>
      </c>
      <c r="C11">
        <v>2685</v>
      </c>
    </row>
    <row r="12" spans="1:3" x14ac:dyDescent="0.2">
      <c r="A12" t="s">
        <v>425</v>
      </c>
      <c r="B12" t="s">
        <v>8</v>
      </c>
      <c r="C12">
        <v>2567</v>
      </c>
    </row>
    <row r="13" spans="1:3" x14ac:dyDescent="0.2">
      <c r="A13" t="s">
        <v>426</v>
      </c>
      <c r="B13" t="s">
        <v>29</v>
      </c>
      <c r="C13">
        <v>734</v>
      </c>
    </row>
    <row r="14" spans="1:3" x14ac:dyDescent="0.2">
      <c r="A14" t="s">
        <v>427</v>
      </c>
      <c r="B14" t="s">
        <v>25</v>
      </c>
      <c r="C14">
        <v>143</v>
      </c>
    </row>
    <row r="15" spans="1:3" x14ac:dyDescent="0.2">
      <c r="A15" t="s">
        <v>428</v>
      </c>
      <c r="B15" t="s">
        <v>98</v>
      </c>
      <c r="C15">
        <v>6178</v>
      </c>
    </row>
    <row r="16" spans="1:3" x14ac:dyDescent="0.2">
      <c r="A16" t="s">
        <v>429</v>
      </c>
      <c r="B16" t="s">
        <v>64</v>
      </c>
      <c r="C16">
        <v>6433</v>
      </c>
    </row>
    <row r="17" spans="1:3" x14ac:dyDescent="0.2">
      <c r="A17" t="s">
        <v>430</v>
      </c>
      <c r="B17" t="s">
        <v>84</v>
      </c>
      <c r="C17">
        <v>3490</v>
      </c>
    </row>
    <row r="18" spans="1:3" x14ac:dyDescent="0.2">
      <c r="A18" t="s">
        <v>431</v>
      </c>
      <c r="B18" t="s">
        <v>114</v>
      </c>
      <c r="C18">
        <v>1631</v>
      </c>
    </row>
    <row r="19" spans="1:3" x14ac:dyDescent="0.2">
      <c r="A19" t="s">
        <v>432</v>
      </c>
      <c r="B19" t="s">
        <v>80</v>
      </c>
      <c r="C19">
        <v>6664</v>
      </c>
    </row>
    <row r="20" spans="1:3" x14ac:dyDescent="0.2">
      <c r="A20" t="s">
        <v>433</v>
      </c>
      <c r="B20" t="s">
        <v>78</v>
      </c>
      <c r="C20">
        <v>10115</v>
      </c>
    </row>
    <row r="21" spans="1:3" x14ac:dyDescent="0.2">
      <c r="A21" t="s">
        <v>434</v>
      </c>
      <c r="B21" t="s">
        <v>112</v>
      </c>
      <c r="C21">
        <v>837</v>
      </c>
    </row>
    <row r="22" spans="1:3" x14ac:dyDescent="0.2">
      <c r="A22" t="s">
        <v>435</v>
      </c>
      <c r="B22" t="s">
        <v>116</v>
      </c>
      <c r="C22">
        <v>771</v>
      </c>
    </row>
    <row r="23" spans="1:3" x14ac:dyDescent="0.2">
      <c r="A23" t="s">
        <v>436</v>
      </c>
      <c r="B23" t="s">
        <v>102</v>
      </c>
      <c r="C23">
        <v>856</v>
      </c>
    </row>
    <row r="24" spans="1:3" x14ac:dyDescent="0.2">
      <c r="A24" t="s">
        <v>437</v>
      </c>
      <c r="B24" t="s">
        <v>72</v>
      </c>
      <c r="C24">
        <v>6291</v>
      </c>
    </row>
    <row r="25" spans="1:3" x14ac:dyDescent="0.2">
      <c r="A25" t="s">
        <v>438</v>
      </c>
      <c r="B25" t="s">
        <v>94</v>
      </c>
      <c r="C25">
        <v>3263</v>
      </c>
    </row>
    <row r="26" spans="1:3" x14ac:dyDescent="0.2">
      <c r="A26" t="s">
        <v>439</v>
      </c>
      <c r="B26" t="s">
        <v>106</v>
      </c>
      <c r="C26">
        <v>781</v>
      </c>
    </row>
    <row r="27" spans="1:3" x14ac:dyDescent="0.2">
      <c r="A27" t="s">
        <v>440</v>
      </c>
      <c r="B27" t="s">
        <v>118</v>
      </c>
      <c r="C27">
        <v>765</v>
      </c>
    </row>
    <row r="28" spans="1:3" x14ac:dyDescent="0.2">
      <c r="A28" t="s">
        <v>441</v>
      </c>
      <c r="B28" t="s">
        <v>90</v>
      </c>
      <c r="C28">
        <v>11929</v>
      </c>
    </row>
    <row r="29" spans="1:3" x14ac:dyDescent="0.2">
      <c r="A29" t="s">
        <v>442</v>
      </c>
      <c r="B29" t="s">
        <v>82</v>
      </c>
      <c r="C29">
        <v>8615</v>
      </c>
    </row>
    <row r="30" spans="1:3" x14ac:dyDescent="0.2">
      <c r="A30" t="s">
        <v>443</v>
      </c>
      <c r="B30" t="s">
        <v>92</v>
      </c>
      <c r="C30">
        <v>2900</v>
      </c>
    </row>
    <row r="31" spans="1:3" x14ac:dyDescent="0.2">
      <c r="A31" t="s">
        <v>444</v>
      </c>
      <c r="B31" t="s">
        <v>100</v>
      </c>
      <c r="C31">
        <v>2681</v>
      </c>
    </row>
    <row r="32" spans="1:3" x14ac:dyDescent="0.2">
      <c r="A32" t="s">
        <v>445</v>
      </c>
      <c r="B32" t="s">
        <v>104</v>
      </c>
      <c r="C32">
        <v>1149</v>
      </c>
    </row>
    <row r="33" spans="1:3" x14ac:dyDescent="0.2">
      <c r="A33" t="s">
        <v>446</v>
      </c>
      <c r="B33" t="s">
        <v>76</v>
      </c>
      <c r="C33">
        <v>4082</v>
      </c>
    </row>
    <row r="34" spans="1:3" x14ac:dyDescent="0.2">
      <c r="A34" t="s">
        <v>447</v>
      </c>
      <c r="B34" t="s">
        <v>74</v>
      </c>
      <c r="C34">
        <v>3821</v>
      </c>
    </row>
    <row r="35" spans="1:3" x14ac:dyDescent="0.2">
      <c r="A35" t="s">
        <v>448</v>
      </c>
      <c r="B35" t="s">
        <v>108</v>
      </c>
      <c r="C35">
        <v>1482</v>
      </c>
    </row>
    <row r="36" spans="1:3" x14ac:dyDescent="0.2">
      <c r="A36" t="s">
        <v>449</v>
      </c>
      <c r="B36" t="s">
        <v>110</v>
      </c>
      <c r="C36">
        <v>1173</v>
      </c>
    </row>
    <row r="37" spans="1:3" x14ac:dyDescent="0.2">
      <c r="A37" t="s">
        <v>450</v>
      </c>
      <c r="B37" t="s">
        <v>86</v>
      </c>
      <c r="C37">
        <v>799</v>
      </c>
    </row>
    <row r="38" spans="1:3" x14ac:dyDescent="0.2">
      <c r="A38" t="s">
        <v>451</v>
      </c>
      <c r="B38" t="s">
        <v>96</v>
      </c>
      <c r="C38">
        <v>582</v>
      </c>
    </row>
    <row r="39" spans="1:3" x14ac:dyDescent="0.2">
      <c r="A39" t="s">
        <v>452</v>
      </c>
      <c r="B39" t="s">
        <v>68</v>
      </c>
      <c r="C39">
        <v>11470</v>
      </c>
    </row>
    <row r="40" spans="1:3" x14ac:dyDescent="0.2">
      <c r="A40" t="s">
        <v>453</v>
      </c>
      <c r="B40" t="s">
        <v>70</v>
      </c>
      <c r="C40">
        <v>10249</v>
      </c>
    </row>
    <row r="41" spans="1:3" x14ac:dyDescent="0.2">
      <c r="A41" t="s">
        <v>454</v>
      </c>
      <c r="B41" t="s">
        <v>55</v>
      </c>
      <c r="C41">
        <v>6698</v>
      </c>
    </row>
    <row r="42" spans="1:3" x14ac:dyDescent="0.2">
      <c r="A42" t="s">
        <v>455</v>
      </c>
      <c r="B42" t="s">
        <v>88</v>
      </c>
      <c r="C42">
        <v>5303</v>
      </c>
    </row>
    <row r="43" spans="1:3" x14ac:dyDescent="0.2">
      <c r="A43" t="s">
        <v>456</v>
      </c>
      <c r="B43" t="s">
        <v>66</v>
      </c>
      <c r="C43">
        <v>3446</v>
      </c>
    </row>
    <row r="44" spans="1:3" x14ac:dyDescent="0.2">
      <c r="A44" t="s">
        <v>457</v>
      </c>
      <c r="B44" t="s">
        <v>57</v>
      </c>
      <c r="C44">
        <v>3567</v>
      </c>
    </row>
    <row r="45" spans="1:3" x14ac:dyDescent="0.2">
      <c r="A45" t="s">
        <v>458</v>
      </c>
      <c r="B45" t="s">
        <v>59</v>
      </c>
      <c r="C45">
        <v>2210</v>
      </c>
    </row>
    <row r="46" spans="1:3" x14ac:dyDescent="0.2">
      <c r="A46" t="s">
        <v>459</v>
      </c>
      <c r="B46" t="s">
        <v>59</v>
      </c>
      <c r="C46">
        <v>1556</v>
      </c>
    </row>
    <row r="47" spans="1:3" x14ac:dyDescent="0.2">
      <c r="A47" t="s">
        <v>460</v>
      </c>
      <c r="B47" t="s">
        <v>45</v>
      </c>
      <c r="C47">
        <v>6404</v>
      </c>
    </row>
    <row r="48" spans="1:3" x14ac:dyDescent="0.2">
      <c r="A48" t="s">
        <v>461</v>
      </c>
      <c r="B48" t="s">
        <v>53</v>
      </c>
      <c r="C48">
        <v>1440</v>
      </c>
    </row>
    <row r="49" spans="1:3" x14ac:dyDescent="0.2">
      <c r="A49" t="s">
        <v>462</v>
      </c>
      <c r="B49" t="s">
        <v>51</v>
      </c>
      <c r="C49">
        <v>1542</v>
      </c>
    </row>
    <row r="50" spans="1:3" x14ac:dyDescent="0.2">
      <c r="A50" t="s">
        <v>463</v>
      </c>
      <c r="B50" t="s">
        <v>48</v>
      </c>
      <c r="C50">
        <v>890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6123-597B-DF44-B3A9-1F85645420E0}">
  <dimension ref="A1:H176"/>
  <sheetViews>
    <sheetView workbookViewId="0">
      <selection activeCell="N32" sqref="N32"/>
    </sheetView>
  </sheetViews>
  <sheetFormatPr baseColWidth="10" defaultRowHeight="15" x14ac:dyDescent="0.2"/>
  <sheetData>
    <row r="1" spans="1:8" x14ac:dyDescent="0.2">
      <c r="A1" s="6"/>
      <c r="H1" s="66"/>
    </row>
    <row r="2" spans="1:8" x14ac:dyDescent="0.2">
      <c r="A2" s="9"/>
      <c r="H2" s="67"/>
    </row>
    <row r="3" spans="1:8" x14ac:dyDescent="0.2">
      <c r="A3" s="10"/>
      <c r="H3" s="67"/>
    </row>
    <row r="4" spans="1:8" x14ac:dyDescent="0.2">
      <c r="A4" s="11"/>
      <c r="H4" s="67"/>
    </row>
    <row r="5" spans="1:8" x14ac:dyDescent="0.2">
      <c r="A5" s="12"/>
      <c r="H5" s="67"/>
    </row>
    <row r="6" spans="1:8" x14ac:dyDescent="0.2">
      <c r="A6" s="13"/>
      <c r="H6" s="67"/>
    </row>
    <row r="7" spans="1:8" x14ac:dyDescent="0.2">
      <c r="A7" s="14"/>
      <c r="H7" s="67"/>
    </row>
    <row r="8" spans="1:8" x14ac:dyDescent="0.2">
      <c r="A8" s="15"/>
      <c r="H8" s="67"/>
    </row>
    <row r="9" spans="1:8" x14ac:dyDescent="0.2">
      <c r="A9" s="16"/>
      <c r="H9" s="67"/>
    </row>
    <row r="10" spans="1:8" x14ac:dyDescent="0.2">
      <c r="A10" s="17"/>
      <c r="H10" s="67"/>
    </row>
    <row r="11" spans="1:8" x14ac:dyDescent="0.2">
      <c r="A11" s="18"/>
      <c r="H11" s="67"/>
    </row>
    <row r="12" spans="1:8" x14ac:dyDescent="0.2">
      <c r="A12" s="19"/>
      <c r="H12" s="67"/>
    </row>
    <row r="13" spans="1:8" x14ac:dyDescent="0.2">
      <c r="A13" s="20"/>
      <c r="H13" s="67"/>
    </row>
    <row r="14" spans="1:8" x14ac:dyDescent="0.2">
      <c r="A14" s="21"/>
      <c r="H14" s="67"/>
    </row>
    <row r="15" spans="1:8" x14ac:dyDescent="0.2">
      <c r="A15" s="22"/>
      <c r="H15" s="67"/>
    </row>
    <row r="16" spans="1:8" x14ac:dyDescent="0.2">
      <c r="A16" s="23"/>
      <c r="H16" s="67"/>
    </row>
    <row r="17" spans="1:8" x14ac:dyDescent="0.2">
      <c r="A17" s="24"/>
      <c r="H17" s="67"/>
    </row>
    <row r="18" spans="1:8" x14ac:dyDescent="0.2">
      <c r="A18" s="25"/>
      <c r="H18" s="67"/>
    </row>
    <row r="19" spans="1:8" x14ac:dyDescent="0.2">
      <c r="A19" s="26"/>
      <c r="H19" s="67"/>
    </row>
    <row r="20" spans="1:8" x14ac:dyDescent="0.2">
      <c r="A20" s="27"/>
      <c r="H20" s="67"/>
    </row>
    <row r="21" spans="1:8" x14ac:dyDescent="0.2">
      <c r="A21" s="28"/>
      <c r="H21" s="67"/>
    </row>
    <row r="22" spans="1:8" x14ac:dyDescent="0.2">
      <c r="A22" s="29"/>
      <c r="H22" s="67"/>
    </row>
    <row r="23" spans="1:8" x14ac:dyDescent="0.2">
      <c r="A23" s="30"/>
      <c r="H23" s="67"/>
    </row>
    <row r="24" spans="1:8" x14ac:dyDescent="0.2">
      <c r="A24" s="31"/>
      <c r="H24" s="67"/>
    </row>
    <row r="25" spans="1:8" x14ac:dyDescent="0.2">
      <c r="A25" s="32"/>
      <c r="H25" s="67"/>
    </row>
    <row r="26" spans="1:8" x14ac:dyDescent="0.2">
      <c r="A26" s="33"/>
      <c r="H26" s="67"/>
    </row>
    <row r="27" spans="1:8" x14ac:dyDescent="0.2">
      <c r="A27" s="34"/>
      <c r="H27" s="67"/>
    </row>
    <row r="28" spans="1:8" x14ac:dyDescent="0.2">
      <c r="A28" s="35"/>
      <c r="H28" s="67"/>
    </row>
    <row r="29" spans="1:8" x14ac:dyDescent="0.2">
      <c r="A29" s="36"/>
      <c r="H29" s="67"/>
    </row>
    <row r="30" spans="1:8" x14ac:dyDescent="0.2">
      <c r="A30" s="37"/>
      <c r="H30" s="67"/>
    </row>
    <row r="31" spans="1:8" x14ac:dyDescent="0.2">
      <c r="A31" s="38"/>
      <c r="H31" s="67"/>
    </row>
    <row r="32" spans="1:8" x14ac:dyDescent="0.2">
      <c r="A32" s="39"/>
      <c r="H32" s="67"/>
    </row>
    <row r="33" spans="1:8" x14ac:dyDescent="0.2">
      <c r="A33" s="40"/>
      <c r="H33" s="67"/>
    </row>
    <row r="34" spans="1:8" x14ac:dyDescent="0.2">
      <c r="A34" s="41"/>
      <c r="H34" s="67"/>
    </row>
    <row r="35" spans="1:8" x14ac:dyDescent="0.2">
      <c r="A35" s="42"/>
      <c r="H35" s="67"/>
    </row>
    <row r="36" spans="1:8" x14ac:dyDescent="0.2">
      <c r="A36" s="43"/>
      <c r="H36" s="67"/>
    </row>
    <row r="37" spans="1:8" x14ac:dyDescent="0.2">
      <c r="A37" s="44"/>
      <c r="H37" s="67"/>
    </row>
    <row r="38" spans="1:8" x14ac:dyDescent="0.2">
      <c r="A38" s="45"/>
      <c r="H38" s="67"/>
    </row>
    <row r="39" spans="1:8" x14ac:dyDescent="0.2">
      <c r="A39" s="46"/>
      <c r="H39" s="67"/>
    </row>
    <row r="40" spans="1:8" x14ac:dyDescent="0.2">
      <c r="A40" s="47"/>
      <c r="H40" s="67"/>
    </row>
    <row r="41" spans="1:8" x14ac:dyDescent="0.2">
      <c r="A41" s="48"/>
      <c r="H41" s="67"/>
    </row>
    <row r="42" spans="1:8" x14ac:dyDescent="0.2">
      <c r="A42" s="49"/>
      <c r="H42" s="67"/>
    </row>
    <row r="43" spans="1:8" x14ac:dyDescent="0.2">
      <c r="A43" s="50"/>
      <c r="H43" s="67"/>
    </row>
    <row r="44" spans="1:8" x14ac:dyDescent="0.2">
      <c r="A44" s="51"/>
      <c r="H44" s="67"/>
    </row>
    <row r="45" spans="1:8" x14ac:dyDescent="0.2">
      <c r="A45" s="52"/>
      <c r="H45" s="67"/>
    </row>
    <row r="46" spans="1:8" x14ac:dyDescent="0.2">
      <c r="A46" s="53"/>
      <c r="H46" s="67"/>
    </row>
    <row r="47" spans="1:8" x14ac:dyDescent="0.2">
      <c r="A47" s="54"/>
      <c r="H47" s="67"/>
    </row>
    <row r="48" spans="1:8" x14ac:dyDescent="0.2">
      <c r="A48" s="55"/>
      <c r="H48" s="67"/>
    </row>
    <row r="49" spans="1:8" x14ac:dyDescent="0.2">
      <c r="A49" s="56"/>
      <c r="H49" s="67"/>
    </row>
    <row r="50" spans="1:8" x14ac:dyDescent="0.2">
      <c r="A50" s="57"/>
      <c r="H50" s="67"/>
    </row>
    <row r="51" spans="1:8" x14ac:dyDescent="0.2">
      <c r="A51" s="58"/>
      <c r="H51" s="67"/>
    </row>
    <row r="52" spans="1:8" x14ac:dyDescent="0.2">
      <c r="H52" s="67"/>
    </row>
    <row r="53" spans="1:8" x14ac:dyDescent="0.2">
      <c r="H53" s="67"/>
    </row>
    <row r="54" spans="1:8" x14ac:dyDescent="0.2">
      <c r="H54" s="67"/>
    </row>
    <row r="55" spans="1:8" x14ac:dyDescent="0.2">
      <c r="H55" s="67"/>
    </row>
    <row r="56" spans="1:8" x14ac:dyDescent="0.2">
      <c r="H56" s="67"/>
    </row>
    <row r="57" spans="1:8" x14ac:dyDescent="0.2">
      <c r="H57" s="67"/>
    </row>
    <row r="58" spans="1:8" x14ac:dyDescent="0.2">
      <c r="H58" s="67"/>
    </row>
    <row r="59" spans="1:8" x14ac:dyDescent="0.2">
      <c r="H59" s="67"/>
    </row>
    <row r="60" spans="1:8" x14ac:dyDescent="0.2">
      <c r="H60" s="67"/>
    </row>
    <row r="61" spans="1:8" x14ac:dyDescent="0.2">
      <c r="H61" s="67"/>
    </row>
    <row r="62" spans="1:8" x14ac:dyDescent="0.2">
      <c r="H62" s="67"/>
    </row>
    <row r="63" spans="1:8" x14ac:dyDescent="0.2">
      <c r="H63" s="67"/>
    </row>
    <row r="64" spans="1:8" x14ac:dyDescent="0.2">
      <c r="H64" s="67"/>
    </row>
    <row r="65" spans="8:8" x14ac:dyDescent="0.2">
      <c r="H65" s="67"/>
    </row>
    <row r="66" spans="8:8" x14ac:dyDescent="0.2">
      <c r="H66" s="67"/>
    </row>
    <row r="67" spans="8:8" x14ac:dyDescent="0.2">
      <c r="H67" s="67"/>
    </row>
    <row r="68" spans="8:8" x14ac:dyDescent="0.2">
      <c r="H68" s="67"/>
    </row>
    <row r="69" spans="8:8" x14ac:dyDescent="0.2">
      <c r="H69" s="67"/>
    </row>
    <row r="70" spans="8:8" x14ac:dyDescent="0.2">
      <c r="H70" s="67"/>
    </row>
    <row r="71" spans="8:8" x14ac:dyDescent="0.2">
      <c r="H71" s="67"/>
    </row>
    <row r="72" spans="8:8" x14ac:dyDescent="0.2">
      <c r="H72" s="67"/>
    </row>
    <row r="73" spans="8:8" x14ac:dyDescent="0.2">
      <c r="H73" s="67"/>
    </row>
    <row r="74" spans="8:8" x14ac:dyDescent="0.2">
      <c r="H74" s="67"/>
    </row>
    <row r="75" spans="8:8" x14ac:dyDescent="0.2">
      <c r="H75" s="67"/>
    </row>
    <row r="76" spans="8:8" x14ac:dyDescent="0.2">
      <c r="H76" s="67"/>
    </row>
    <row r="77" spans="8:8" x14ac:dyDescent="0.2">
      <c r="H77" s="67"/>
    </row>
    <row r="78" spans="8:8" x14ac:dyDescent="0.2">
      <c r="H78" s="67"/>
    </row>
    <row r="79" spans="8:8" x14ac:dyDescent="0.2">
      <c r="H79" s="67"/>
    </row>
    <row r="80" spans="8:8" x14ac:dyDescent="0.2">
      <c r="H80" s="67"/>
    </row>
    <row r="81" spans="8:8" x14ac:dyDescent="0.2">
      <c r="H81" s="67"/>
    </row>
    <row r="82" spans="8:8" x14ac:dyDescent="0.2">
      <c r="H82" s="67"/>
    </row>
    <row r="83" spans="8:8" x14ac:dyDescent="0.2">
      <c r="H83" s="67"/>
    </row>
    <row r="84" spans="8:8" x14ac:dyDescent="0.2">
      <c r="H84" s="67"/>
    </row>
    <row r="85" spans="8:8" x14ac:dyDescent="0.2">
      <c r="H85" s="67"/>
    </row>
    <row r="86" spans="8:8" x14ac:dyDescent="0.2">
      <c r="H86" s="67"/>
    </row>
    <row r="87" spans="8:8" x14ac:dyDescent="0.2">
      <c r="H87" s="67"/>
    </row>
    <row r="88" spans="8:8" x14ac:dyDescent="0.2">
      <c r="H88" s="67"/>
    </row>
    <row r="89" spans="8:8" x14ac:dyDescent="0.2">
      <c r="H89" s="67"/>
    </row>
    <row r="90" spans="8:8" x14ac:dyDescent="0.2">
      <c r="H90" s="67"/>
    </row>
    <row r="91" spans="8:8" x14ac:dyDescent="0.2">
      <c r="H91" s="67"/>
    </row>
    <row r="92" spans="8:8" x14ac:dyDescent="0.2">
      <c r="H92" s="67"/>
    </row>
    <row r="93" spans="8:8" x14ac:dyDescent="0.2">
      <c r="H93" s="67"/>
    </row>
    <row r="94" spans="8:8" x14ac:dyDescent="0.2">
      <c r="H94" s="67"/>
    </row>
    <row r="95" spans="8:8" x14ac:dyDescent="0.2">
      <c r="H95" s="67"/>
    </row>
    <row r="96" spans="8:8" x14ac:dyDescent="0.2">
      <c r="H96" s="67"/>
    </row>
    <row r="97" spans="8:8" x14ac:dyDescent="0.2">
      <c r="H97" s="67"/>
    </row>
    <row r="98" spans="8:8" x14ac:dyDescent="0.2">
      <c r="H98" s="67"/>
    </row>
    <row r="99" spans="8:8" x14ac:dyDescent="0.2">
      <c r="H99" s="67"/>
    </row>
    <row r="100" spans="8:8" x14ac:dyDescent="0.2">
      <c r="H100" s="67"/>
    </row>
    <row r="101" spans="8:8" x14ac:dyDescent="0.2">
      <c r="H101" s="67"/>
    </row>
    <row r="102" spans="8:8" x14ac:dyDescent="0.2">
      <c r="H102" s="67"/>
    </row>
    <row r="103" spans="8:8" x14ac:dyDescent="0.2">
      <c r="H103" s="67"/>
    </row>
    <row r="104" spans="8:8" x14ac:dyDescent="0.2">
      <c r="H104" s="67"/>
    </row>
    <row r="105" spans="8:8" x14ac:dyDescent="0.2">
      <c r="H105" s="67"/>
    </row>
    <row r="106" spans="8:8" x14ac:dyDescent="0.2">
      <c r="H106" s="67"/>
    </row>
    <row r="107" spans="8:8" x14ac:dyDescent="0.2">
      <c r="H107" s="67"/>
    </row>
    <row r="108" spans="8:8" x14ac:dyDescent="0.2">
      <c r="H108" s="67"/>
    </row>
    <row r="109" spans="8:8" x14ac:dyDescent="0.2">
      <c r="H109" s="67"/>
    </row>
    <row r="110" spans="8:8" x14ac:dyDescent="0.2">
      <c r="H110" s="67"/>
    </row>
    <row r="111" spans="8:8" x14ac:dyDescent="0.2">
      <c r="H111" s="67"/>
    </row>
    <row r="112" spans="8:8" x14ac:dyDescent="0.2">
      <c r="H112" s="67"/>
    </row>
    <row r="113" spans="8:8" x14ac:dyDescent="0.2">
      <c r="H113" s="67"/>
    </row>
    <row r="114" spans="8:8" x14ac:dyDescent="0.2">
      <c r="H114" s="67"/>
    </row>
    <row r="115" spans="8:8" x14ac:dyDescent="0.2">
      <c r="H115" s="67"/>
    </row>
    <row r="116" spans="8:8" x14ac:dyDescent="0.2">
      <c r="H116" s="67"/>
    </row>
    <row r="117" spans="8:8" x14ac:dyDescent="0.2">
      <c r="H117" s="67"/>
    </row>
    <row r="118" spans="8:8" x14ac:dyDescent="0.2">
      <c r="H118" s="67"/>
    </row>
    <row r="119" spans="8:8" x14ac:dyDescent="0.2">
      <c r="H119" s="67"/>
    </row>
    <row r="120" spans="8:8" x14ac:dyDescent="0.2">
      <c r="H120" s="67"/>
    </row>
    <row r="121" spans="8:8" x14ac:dyDescent="0.2">
      <c r="H121" s="67"/>
    </row>
    <row r="122" spans="8:8" x14ac:dyDescent="0.2">
      <c r="H122" s="67"/>
    </row>
    <row r="123" spans="8:8" x14ac:dyDescent="0.2">
      <c r="H123" s="67"/>
    </row>
    <row r="124" spans="8:8" x14ac:dyDescent="0.2">
      <c r="H124" s="67"/>
    </row>
    <row r="125" spans="8:8" x14ac:dyDescent="0.2">
      <c r="H125" s="67"/>
    </row>
    <row r="126" spans="8:8" x14ac:dyDescent="0.2">
      <c r="H126" s="67"/>
    </row>
    <row r="127" spans="8:8" x14ac:dyDescent="0.2">
      <c r="H127" s="67"/>
    </row>
    <row r="128" spans="8:8" x14ac:dyDescent="0.2">
      <c r="H128" s="67"/>
    </row>
    <row r="129" spans="8:8" x14ac:dyDescent="0.2">
      <c r="H129" s="67"/>
    </row>
    <row r="130" spans="8:8" x14ac:dyDescent="0.2">
      <c r="H130" s="67"/>
    </row>
    <row r="131" spans="8:8" x14ac:dyDescent="0.2">
      <c r="H131" s="67"/>
    </row>
    <row r="132" spans="8:8" x14ac:dyDescent="0.2">
      <c r="H132" s="67"/>
    </row>
    <row r="133" spans="8:8" x14ac:dyDescent="0.2">
      <c r="H133" s="67"/>
    </row>
    <row r="134" spans="8:8" x14ac:dyDescent="0.2">
      <c r="H134" s="67"/>
    </row>
    <row r="135" spans="8:8" x14ac:dyDescent="0.2">
      <c r="H135" s="67"/>
    </row>
    <row r="136" spans="8:8" x14ac:dyDescent="0.2">
      <c r="H136" s="67"/>
    </row>
    <row r="137" spans="8:8" x14ac:dyDescent="0.2">
      <c r="H137" s="67"/>
    </row>
    <row r="138" spans="8:8" x14ac:dyDescent="0.2">
      <c r="H138" s="67"/>
    </row>
    <row r="139" spans="8:8" x14ac:dyDescent="0.2">
      <c r="H139" s="67"/>
    </row>
    <row r="140" spans="8:8" x14ac:dyDescent="0.2">
      <c r="H140" s="67"/>
    </row>
    <row r="141" spans="8:8" x14ac:dyDescent="0.2">
      <c r="H141" s="67"/>
    </row>
    <row r="142" spans="8:8" x14ac:dyDescent="0.2">
      <c r="H142" s="67"/>
    </row>
    <row r="143" spans="8:8" x14ac:dyDescent="0.2">
      <c r="H143" s="67"/>
    </row>
    <row r="144" spans="8:8" x14ac:dyDescent="0.2">
      <c r="H144" s="67"/>
    </row>
    <row r="145" spans="8:8" x14ac:dyDescent="0.2">
      <c r="H145" s="67"/>
    </row>
    <row r="146" spans="8:8" x14ac:dyDescent="0.2">
      <c r="H146" s="67"/>
    </row>
    <row r="147" spans="8:8" x14ac:dyDescent="0.2">
      <c r="H147" s="67"/>
    </row>
    <row r="148" spans="8:8" x14ac:dyDescent="0.2">
      <c r="H148" s="67"/>
    </row>
    <row r="149" spans="8:8" x14ac:dyDescent="0.2">
      <c r="H149" s="67"/>
    </row>
    <row r="150" spans="8:8" x14ac:dyDescent="0.2">
      <c r="H150" s="67"/>
    </row>
    <row r="151" spans="8:8" x14ac:dyDescent="0.2">
      <c r="H151" s="67"/>
    </row>
    <row r="152" spans="8:8" x14ac:dyDescent="0.2">
      <c r="H152" s="67"/>
    </row>
    <row r="153" spans="8:8" x14ac:dyDescent="0.2">
      <c r="H153" s="67"/>
    </row>
    <row r="154" spans="8:8" x14ac:dyDescent="0.2">
      <c r="H154" s="67"/>
    </row>
    <row r="155" spans="8:8" x14ac:dyDescent="0.2">
      <c r="H155" s="67"/>
    </row>
    <row r="156" spans="8:8" x14ac:dyDescent="0.2">
      <c r="H156" s="67"/>
    </row>
    <row r="157" spans="8:8" x14ac:dyDescent="0.2">
      <c r="H157" s="67"/>
    </row>
    <row r="158" spans="8:8" x14ac:dyDescent="0.2">
      <c r="H158" s="67"/>
    </row>
    <row r="159" spans="8:8" x14ac:dyDescent="0.2">
      <c r="H159" s="67"/>
    </row>
    <row r="160" spans="8:8" x14ac:dyDescent="0.2">
      <c r="H160" s="67"/>
    </row>
    <row r="161" spans="8:8" x14ac:dyDescent="0.2">
      <c r="H161" s="67"/>
    </row>
    <row r="162" spans="8:8" x14ac:dyDescent="0.2">
      <c r="H162" s="67"/>
    </row>
    <row r="163" spans="8:8" x14ac:dyDescent="0.2">
      <c r="H163" s="67"/>
    </row>
    <row r="164" spans="8:8" x14ac:dyDescent="0.2">
      <c r="H164" s="67"/>
    </row>
    <row r="165" spans="8:8" x14ac:dyDescent="0.2">
      <c r="H165" s="67"/>
    </row>
    <row r="166" spans="8:8" x14ac:dyDescent="0.2">
      <c r="H166" s="67"/>
    </row>
    <row r="167" spans="8:8" x14ac:dyDescent="0.2">
      <c r="H167" s="67"/>
    </row>
    <row r="168" spans="8:8" x14ac:dyDescent="0.2">
      <c r="H168" s="67"/>
    </row>
    <row r="169" spans="8:8" x14ac:dyDescent="0.2">
      <c r="H169" s="67"/>
    </row>
    <row r="170" spans="8:8" x14ac:dyDescent="0.2">
      <c r="H170" s="67"/>
    </row>
    <row r="171" spans="8:8" x14ac:dyDescent="0.2">
      <c r="H171" s="67"/>
    </row>
    <row r="172" spans="8:8" x14ac:dyDescent="0.2">
      <c r="H172" s="67"/>
    </row>
    <row r="173" spans="8:8" x14ac:dyDescent="0.2">
      <c r="H173" s="67"/>
    </row>
    <row r="174" spans="8:8" x14ac:dyDescent="0.2">
      <c r="H174" s="67"/>
    </row>
    <row r="175" spans="8:8" x14ac:dyDescent="0.2">
      <c r="H175" s="67"/>
    </row>
    <row r="176" spans="8:8" x14ac:dyDescent="0.2">
      <c r="H176" s="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>
      <selection activeCell="I18" sqref="I18"/>
    </sheetView>
  </sheetViews>
  <sheetFormatPr baseColWidth="10" defaultColWidth="8.83203125" defaultRowHeight="15" x14ac:dyDescent="0.2"/>
  <cols>
    <col min="1" max="1" width="24.83203125" bestFit="1" customWidth="1"/>
    <col min="2" max="2" width="13.1640625" bestFit="1" customWidth="1"/>
    <col min="3" max="3" width="12.33203125" bestFit="1" customWidth="1"/>
  </cols>
  <sheetData>
    <row r="1" spans="1:3" x14ac:dyDescent="0.2">
      <c r="A1" s="59" t="s">
        <v>4</v>
      </c>
      <c r="B1" s="60" t="s">
        <v>119</v>
      </c>
      <c r="C1" t="s">
        <v>464</v>
      </c>
    </row>
    <row r="2" spans="1:3" x14ac:dyDescent="0.2">
      <c r="A2" t="s">
        <v>6</v>
      </c>
      <c r="B2" s="61">
        <v>5</v>
      </c>
      <c r="C2">
        <v>4946</v>
      </c>
    </row>
    <row r="3" spans="1:3" x14ac:dyDescent="0.2">
      <c r="A3" t="s">
        <v>7</v>
      </c>
      <c r="B3" s="61">
        <v>1</v>
      </c>
      <c r="C3">
        <v>4951</v>
      </c>
    </row>
    <row r="4" spans="1:3" x14ac:dyDescent="0.2">
      <c r="A4" t="s">
        <v>8</v>
      </c>
      <c r="B4" s="61">
        <v>5</v>
      </c>
      <c r="C4">
        <v>4952</v>
      </c>
    </row>
    <row r="5" spans="1:3" x14ac:dyDescent="0.2">
      <c r="A5" t="s">
        <v>9</v>
      </c>
      <c r="B5" s="61">
        <v>1</v>
      </c>
      <c r="C5">
        <v>4957</v>
      </c>
    </row>
    <row r="6" spans="1:3" x14ac:dyDescent="0.2">
      <c r="A6" t="s">
        <v>10</v>
      </c>
      <c r="B6" s="61">
        <v>4</v>
      </c>
      <c r="C6">
        <v>4958</v>
      </c>
    </row>
    <row r="7" spans="1:3" x14ac:dyDescent="0.2">
      <c r="A7" t="s">
        <v>11</v>
      </c>
      <c r="B7" s="61">
        <v>2</v>
      </c>
      <c r="C7">
        <v>4962</v>
      </c>
    </row>
    <row r="8" spans="1:3" x14ac:dyDescent="0.2">
      <c r="A8" t="s">
        <v>12</v>
      </c>
      <c r="B8" s="61">
        <v>8</v>
      </c>
      <c r="C8">
        <v>4964</v>
      </c>
    </row>
    <row r="9" spans="1:3" x14ac:dyDescent="0.2">
      <c r="A9" t="s">
        <v>13</v>
      </c>
      <c r="B9" s="61">
        <v>11</v>
      </c>
      <c r="C9">
        <v>4972</v>
      </c>
    </row>
    <row r="10" spans="1:3" x14ac:dyDescent="0.2">
      <c r="A10" t="s">
        <v>14</v>
      </c>
      <c r="B10" s="61">
        <v>5</v>
      </c>
      <c r="C10">
        <v>4983</v>
      </c>
    </row>
    <row r="11" spans="1:3" x14ac:dyDescent="0.2">
      <c r="A11" t="s">
        <v>15</v>
      </c>
      <c r="B11" s="61">
        <v>14</v>
      </c>
      <c r="C11">
        <v>4988</v>
      </c>
    </row>
    <row r="12" spans="1:3" x14ac:dyDescent="0.2">
      <c r="A12" t="s">
        <v>16</v>
      </c>
      <c r="B12" s="61">
        <v>3</v>
      </c>
      <c r="C12">
        <v>5002</v>
      </c>
    </row>
    <row r="13" spans="1:3" x14ac:dyDescent="0.2">
      <c r="A13" t="s">
        <v>17</v>
      </c>
      <c r="B13" s="61">
        <v>21</v>
      </c>
      <c r="C13">
        <v>5005</v>
      </c>
    </row>
    <row r="14" spans="1:3" x14ac:dyDescent="0.2">
      <c r="A14" t="s">
        <v>18</v>
      </c>
      <c r="B14" s="61">
        <v>5</v>
      </c>
      <c r="C14">
        <v>5026</v>
      </c>
    </row>
    <row r="15" spans="1:3" x14ac:dyDescent="0.2">
      <c r="A15" t="s">
        <v>19</v>
      </c>
      <c r="B15" s="61">
        <v>14</v>
      </c>
      <c r="C15">
        <v>5031</v>
      </c>
    </row>
    <row r="16" spans="1:3" x14ac:dyDescent="0.2">
      <c r="A16" t="s">
        <v>20</v>
      </c>
      <c r="B16" s="61">
        <v>3</v>
      </c>
      <c r="C16">
        <v>5045</v>
      </c>
    </row>
    <row r="17" spans="1:3" x14ac:dyDescent="0.2">
      <c r="A17" t="s">
        <v>21</v>
      </c>
      <c r="B17" s="61">
        <v>3</v>
      </c>
      <c r="C17">
        <v>5048</v>
      </c>
    </row>
    <row r="18" spans="1:3" x14ac:dyDescent="0.2">
      <c r="A18" t="s">
        <v>22</v>
      </c>
      <c r="B18" s="61">
        <v>10</v>
      </c>
      <c r="C18">
        <v>5051</v>
      </c>
    </row>
    <row r="19" spans="1:3" x14ac:dyDescent="0.2">
      <c r="A19" t="s">
        <v>23</v>
      </c>
      <c r="B19" s="61">
        <v>16</v>
      </c>
      <c r="C19">
        <v>5061</v>
      </c>
    </row>
    <row r="20" spans="1:3" x14ac:dyDescent="0.2">
      <c r="A20" t="s">
        <v>24</v>
      </c>
      <c r="B20" s="61">
        <v>23</v>
      </c>
      <c r="C20">
        <v>5077</v>
      </c>
    </row>
    <row r="21" spans="1:3" x14ac:dyDescent="0.2">
      <c r="A21" t="s">
        <v>25</v>
      </c>
      <c r="B21" s="61">
        <v>18</v>
      </c>
      <c r="C21">
        <v>5100</v>
      </c>
    </row>
    <row r="22" spans="1:3" x14ac:dyDescent="0.2">
      <c r="A22" t="s">
        <v>26</v>
      </c>
      <c r="B22" s="61">
        <v>23</v>
      </c>
      <c r="C22">
        <v>5118</v>
      </c>
    </row>
    <row r="23" spans="1:3" x14ac:dyDescent="0.2">
      <c r="A23" t="s">
        <v>27</v>
      </c>
      <c r="B23" s="61">
        <v>1</v>
      </c>
      <c r="C23">
        <v>5141</v>
      </c>
    </row>
    <row r="24" spans="1:3" x14ac:dyDescent="0.2">
      <c r="A24" t="s">
        <v>28</v>
      </c>
      <c r="B24" s="61">
        <v>11</v>
      </c>
      <c r="C24">
        <v>5142</v>
      </c>
    </row>
    <row r="25" spans="1:3" x14ac:dyDescent="0.2">
      <c r="A25" t="s">
        <v>29</v>
      </c>
      <c r="B25" s="61">
        <v>3</v>
      </c>
      <c r="C25">
        <v>5153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baseColWidth="10" defaultColWidth="8.83203125" defaultRowHeight="15" x14ac:dyDescent="0.2"/>
  <cols>
    <col min="1" max="1" width="17.5" bestFit="1" customWidth="1"/>
    <col min="2" max="2" width="28.6640625" bestFit="1" customWidth="1"/>
    <col min="3" max="3" width="10.6640625" bestFit="1" customWidth="1"/>
  </cols>
  <sheetData>
    <row r="1" spans="1:3" x14ac:dyDescent="0.2">
      <c r="A1" s="62" t="s">
        <v>120</v>
      </c>
      <c r="B1" s="63" t="s">
        <v>121</v>
      </c>
      <c r="C1" s="64" t="s">
        <v>122</v>
      </c>
    </row>
    <row r="2" spans="1:3" x14ac:dyDescent="0.2">
      <c r="A2" t="s">
        <v>123</v>
      </c>
      <c r="B2" t="s">
        <v>124</v>
      </c>
      <c r="C2" s="65">
        <v>3.7618771195411682E-2</v>
      </c>
    </row>
    <row r="3" spans="1:3" x14ac:dyDescent="0.2">
      <c r="A3" t="s">
        <v>123</v>
      </c>
      <c r="B3" t="s">
        <v>125</v>
      </c>
      <c r="C3" s="65">
        <v>2.5596277788281441E-2</v>
      </c>
    </row>
    <row r="4" spans="1:3" x14ac:dyDescent="0.2">
      <c r="A4" t="s">
        <v>123</v>
      </c>
      <c r="B4" t="s">
        <v>126</v>
      </c>
      <c r="C4" s="65">
        <v>2.3463252931833267E-2</v>
      </c>
    </row>
    <row r="5" spans="1:3" x14ac:dyDescent="0.2">
      <c r="A5" t="s">
        <v>123</v>
      </c>
      <c r="B5" t="s">
        <v>127</v>
      </c>
      <c r="C5" s="65">
        <v>2.0748497918248177E-2</v>
      </c>
    </row>
    <row r="6" spans="1:3" x14ac:dyDescent="0.2">
      <c r="A6" t="s">
        <v>123</v>
      </c>
      <c r="B6" t="s">
        <v>128</v>
      </c>
      <c r="C6" s="65">
        <v>2.0166764035820961E-2</v>
      </c>
    </row>
    <row r="7" spans="1:3" x14ac:dyDescent="0.2">
      <c r="A7" t="s">
        <v>129</v>
      </c>
      <c r="B7" t="s">
        <v>130</v>
      </c>
      <c r="C7" s="65">
        <v>0.13631956279277802</v>
      </c>
    </row>
    <row r="8" spans="1:3" x14ac:dyDescent="0.2">
      <c r="A8" t="s">
        <v>129</v>
      </c>
      <c r="B8" t="s">
        <v>131</v>
      </c>
      <c r="C8" s="65">
        <v>7.5625360012054443E-2</v>
      </c>
    </row>
    <row r="9" spans="1:3" x14ac:dyDescent="0.2">
      <c r="A9" t="s">
        <v>129</v>
      </c>
      <c r="B9" t="s">
        <v>132</v>
      </c>
      <c r="C9" s="65">
        <v>4.1303083300590515E-2</v>
      </c>
    </row>
    <row r="10" spans="1:3" x14ac:dyDescent="0.2">
      <c r="A10" t="s">
        <v>129</v>
      </c>
      <c r="B10" t="s">
        <v>133</v>
      </c>
      <c r="C10" s="65">
        <v>2.2493697702884674E-2</v>
      </c>
    </row>
    <row r="11" spans="1:3" x14ac:dyDescent="0.2">
      <c r="A11" t="s">
        <v>129</v>
      </c>
      <c r="B11" t="s">
        <v>134</v>
      </c>
      <c r="C11" s="65">
        <v>2.1524142473936081E-2</v>
      </c>
    </row>
    <row r="12" spans="1:3" x14ac:dyDescent="0.2">
      <c r="A12" t="s">
        <v>135</v>
      </c>
      <c r="B12" t="s">
        <v>136</v>
      </c>
      <c r="C12" s="65">
        <v>0.1849912703037262</v>
      </c>
    </row>
    <row r="13" spans="1:3" x14ac:dyDescent="0.2">
      <c r="A13" t="s">
        <v>135</v>
      </c>
      <c r="B13" t="s">
        <v>137</v>
      </c>
      <c r="C13" s="65">
        <v>0.18324607610702515</v>
      </c>
    </row>
    <row r="14" spans="1:3" x14ac:dyDescent="0.2">
      <c r="A14" t="s">
        <v>135</v>
      </c>
      <c r="B14" t="s">
        <v>138</v>
      </c>
      <c r="C14" s="65">
        <v>0.11421369016170502</v>
      </c>
    </row>
    <row r="15" spans="1:3" x14ac:dyDescent="0.2">
      <c r="A15" t="s">
        <v>135</v>
      </c>
      <c r="B15" t="s">
        <v>139</v>
      </c>
      <c r="C15" s="65">
        <v>5.565251037478447E-2</v>
      </c>
    </row>
    <row r="16" spans="1:3" x14ac:dyDescent="0.2">
      <c r="A16" t="s">
        <v>135</v>
      </c>
      <c r="B16" t="s">
        <v>140</v>
      </c>
      <c r="C16" s="65">
        <v>5.3713399916887283E-2</v>
      </c>
    </row>
    <row r="17" spans="1:3" x14ac:dyDescent="0.2">
      <c r="A17" t="s">
        <v>141</v>
      </c>
      <c r="B17" t="s">
        <v>142</v>
      </c>
      <c r="C17" s="65">
        <v>0.36164435744285583</v>
      </c>
    </row>
    <row r="18" spans="1:3" x14ac:dyDescent="0.2">
      <c r="A18" t="s">
        <v>141</v>
      </c>
      <c r="B18" t="s">
        <v>143</v>
      </c>
      <c r="C18" s="65">
        <v>0.17490789294242859</v>
      </c>
    </row>
    <row r="19" spans="1:3" x14ac:dyDescent="0.2">
      <c r="A19" t="s">
        <v>141</v>
      </c>
      <c r="B19" t="s">
        <v>144</v>
      </c>
      <c r="C19" s="65">
        <v>9.7343415021896362E-2</v>
      </c>
    </row>
    <row r="20" spans="1:3" x14ac:dyDescent="0.2">
      <c r="A20" t="s">
        <v>141</v>
      </c>
      <c r="B20" t="s">
        <v>145</v>
      </c>
      <c r="C20" s="65">
        <v>9.7149506211280823E-2</v>
      </c>
    </row>
    <row r="21" spans="1:3" x14ac:dyDescent="0.2">
      <c r="A21" t="s">
        <v>141</v>
      </c>
      <c r="B21" t="s">
        <v>146</v>
      </c>
      <c r="C21" s="65">
        <v>7.2328872978687286E-2</v>
      </c>
    </row>
    <row r="22" spans="1:3" x14ac:dyDescent="0.2">
      <c r="A22" t="s">
        <v>147</v>
      </c>
      <c r="B22" t="s">
        <v>148</v>
      </c>
      <c r="C22" s="65">
        <v>0.26022881269454956</v>
      </c>
    </row>
    <row r="23" spans="1:3" x14ac:dyDescent="0.2">
      <c r="A23" t="s">
        <v>147</v>
      </c>
      <c r="B23" t="s">
        <v>149</v>
      </c>
      <c r="C23" s="65">
        <v>0.12390924990177155</v>
      </c>
    </row>
    <row r="24" spans="1:3" x14ac:dyDescent="0.2">
      <c r="A24" t="s">
        <v>147</v>
      </c>
      <c r="B24" t="s">
        <v>150</v>
      </c>
      <c r="C24" s="65">
        <v>0.10568159818649292</v>
      </c>
    </row>
    <row r="25" spans="1:3" x14ac:dyDescent="0.2">
      <c r="A25" t="s">
        <v>147</v>
      </c>
      <c r="B25" t="s">
        <v>151</v>
      </c>
      <c r="C25" s="65">
        <v>9.8119065165519714E-2</v>
      </c>
    </row>
    <row r="26" spans="1:3" x14ac:dyDescent="0.2">
      <c r="A26" t="s">
        <v>147</v>
      </c>
      <c r="B26" t="s">
        <v>152</v>
      </c>
      <c r="C26" s="65">
        <v>8.8423505425453186E-2</v>
      </c>
    </row>
    <row r="27" spans="1:3" x14ac:dyDescent="0.2">
      <c r="A27" t="s">
        <v>153</v>
      </c>
      <c r="B27" t="s">
        <v>154</v>
      </c>
      <c r="C27" s="65">
        <v>8.3963543176651001E-2</v>
      </c>
    </row>
    <row r="28" spans="1:3" x14ac:dyDescent="0.2">
      <c r="A28" t="s">
        <v>153</v>
      </c>
      <c r="B28" t="s">
        <v>155</v>
      </c>
      <c r="C28" s="65">
        <v>7.5431451201438904E-2</v>
      </c>
    </row>
    <row r="29" spans="1:3" x14ac:dyDescent="0.2">
      <c r="A29" t="s">
        <v>153</v>
      </c>
      <c r="B29" t="s">
        <v>156</v>
      </c>
      <c r="C29" s="65">
        <v>4.8865620046854019E-2</v>
      </c>
    </row>
    <row r="30" spans="1:3" x14ac:dyDescent="0.2">
      <c r="A30" t="s">
        <v>153</v>
      </c>
      <c r="B30" t="s">
        <v>157</v>
      </c>
      <c r="C30" s="61" t="s">
        <v>158</v>
      </c>
    </row>
    <row r="31" spans="1:3" x14ac:dyDescent="0.2">
      <c r="A31" t="s">
        <v>153</v>
      </c>
      <c r="B31" t="s">
        <v>159</v>
      </c>
      <c r="C31" s="6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DISCOVERY</vt:lpstr>
      <vt:lpstr>ENGAGEMENT</vt:lpstr>
      <vt:lpstr>TOP POSTS</vt:lpstr>
      <vt:lpstr>Impressions</vt:lpstr>
      <vt:lpstr>Clay Imp</vt:lpstr>
      <vt:lpstr>Impressions Dedupe</vt:lpstr>
      <vt:lpstr>FOLLOWERS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Karl Minnie</cp:lastModifiedBy>
  <dcterms:created xsi:type="dcterms:W3CDTF">2026-02-09T11:55:37Z</dcterms:created>
  <dcterms:modified xsi:type="dcterms:W3CDTF">2026-02-09T16:57:26Z</dcterms:modified>
</cp:coreProperties>
</file>